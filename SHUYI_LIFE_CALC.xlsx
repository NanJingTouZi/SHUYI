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ac2700928ab73f2f/Desktop/"/>
    </mc:Choice>
  </mc:AlternateContent>
  <xr:revisionPtr revIDLastSave="0" documentId="8_{FB08A551-8E9D-4507-B211-A7C00106EF3C}" xr6:coauthVersionLast="47" xr6:coauthVersionMax="47" xr10:uidLastSave="{00000000-0000-0000-0000-000000000000}"/>
  <bookViews>
    <workbookView xWindow="-108" yWindow="-108" windowWidth="41496" windowHeight="16776" activeTab="3" xr2:uid="{265CAF7F-1D6B-4473-9619-B615E017E206}"/>
  </bookViews>
  <sheets>
    <sheet name="LifeNumber" sheetId="1" r:id="rId1"/>
    <sheet name="SHIO" sheetId="3" r:id="rId2"/>
    <sheet name="ELEMEN" sheetId="2" r:id="rId3"/>
    <sheet name="81SET" sheetId="4" r:id="rId4"/>
  </sheets>
  <definedNames>
    <definedName name="_xlnm.Print_Area" localSheetId="3">'81SET'!$A$98:$P$183</definedName>
    <definedName name="_xlnm.Print_Area" localSheetId="0">LifeNumber!$A$1:$Z$65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1" l="1"/>
  <c r="C70" i="1" s="1"/>
  <c r="C71" i="1" s="1"/>
  <c r="C72" i="1" s="1"/>
  <c r="C73" i="1" s="1"/>
  <c r="C74" i="1" s="1"/>
  <c r="C75" i="1" s="1"/>
  <c r="C76" i="1" s="1"/>
  <c r="C77" i="1" s="1"/>
  <c r="I6" i="1" a="1"/>
  <c r="I6" i="1" s="1"/>
  <c r="AD6" i="1"/>
  <c r="AA6" i="1" s="1"/>
  <c r="AA8" i="1" s="1"/>
  <c r="F6" i="1" a="1"/>
  <c r="F6" i="1" s="1"/>
  <c r="P41" i="1" s="1"/>
  <c r="U6" i="1"/>
  <c r="S6" i="1"/>
  <c r="AG123" i="1"/>
  <c r="AH123" i="1" s="1"/>
  <c r="AI123" i="1" s="1"/>
  <c r="AJ123" i="1" s="1"/>
  <c r="AK123" i="1" s="1"/>
  <c r="AL123" i="1" s="1"/>
  <c r="AM123" i="1" s="1"/>
  <c r="AN123" i="1" s="1"/>
  <c r="AO123" i="1" s="1"/>
  <c r="AP123" i="1" s="1"/>
  <c r="AQ123" i="1" s="1"/>
  <c r="AR123" i="1" s="1"/>
  <c r="AS123" i="1" s="1"/>
  <c r="AT123" i="1" s="1"/>
  <c r="AU123" i="1" s="1"/>
  <c r="AV123" i="1" s="1"/>
  <c r="AW123" i="1" s="1"/>
  <c r="AX123" i="1" s="1"/>
  <c r="AY123" i="1" s="1"/>
  <c r="AZ123" i="1" s="1"/>
  <c r="BA123" i="1" s="1"/>
  <c r="BB123" i="1" s="1"/>
  <c r="BC123" i="1" s="1"/>
  <c r="BD123" i="1" s="1"/>
  <c r="BE123" i="1" s="1"/>
  <c r="BF123" i="1" s="1"/>
  <c r="BG123" i="1" s="1"/>
  <c r="BH123" i="1" s="1"/>
  <c r="BI123" i="1" s="1"/>
  <c r="BJ123" i="1" s="1"/>
  <c r="BK123" i="1" s="1"/>
  <c r="BL123" i="1" s="1"/>
  <c r="BM123" i="1" s="1"/>
  <c r="BN123" i="1" s="1"/>
  <c r="BO123" i="1" s="1"/>
  <c r="BP123" i="1" s="1"/>
  <c r="BQ123" i="1" s="1"/>
  <c r="BR123" i="1" s="1"/>
  <c r="BS123" i="1" s="1"/>
  <c r="BT123" i="1" s="1"/>
  <c r="BU123" i="1" s="1"/>
  <c r="BV123" i="1" s="1"/>
  <c r="BW123" i="1" s="1"/>
  <c r="BX123" i="1" s="1"/>
  <c r="BY123" i="1" s="1"/>
  <c r="BZ123" i="1" s="1"/>
  <c r="CA123" i="1" s="1"/>
  <c r="CB123" i="1" s="1"/>
  <c r="CC123" i="1" s="1"/>
  <c r="CD123" i="1" s="1"/>
  <c r="CE123" i="1" s="1"/>
  <c r="CF123" i="1" s="1"/>
  <c r="CG123" i="1" s="1"/>
  <c r="CH123" i="1" s="1"/>
  <c r="CI123" i="1" s="1"/>
  <c r="CJ123" i="1" s="1"/>
  <c r="CK123" i="1" s="1"/>
  <c r="CL123" i="1" s="1"/>
  <c r="CM123" i="1" s="1"/>
  <c r="CN123" i="1" s="1"/>
  <c r="CO123" i="1" s="1"/>
  <c r="CP123" i="1" s="1"/>
  <c r="CQ123" i="1" s="1"/>
  <c r="CR123" i="1" s="1"/>
  <c r="CS123" i="1" s="1"/>
  <c r="CT123" i="1" s="1"/>
  <c r="CU123" i="1" s="1"/>
  <c r="CV123" i="1" s="1"/>
  <c r="CW123" i="1" s="1"/>
  <c r="CX123" i="1" s="1"/>
  <c r="CY123" i="1" s="1"/>
  <c r="CZ123" i="1" s="1"/>
  <c r="DA123" i="1" s="1"/>
  <c r="DB123" i="1" s="1"/>
  <c r="DC123" i="1" s="1"/>
  <c r="DD123" i="1" s="1"/>
  <c r="DE123" i="1" s="1"/>
  <c r="DF123" i="1" s="1"/>
  <c r="DG123" i="1" s="1"/>
  <c r="K41" i="1" l="1"/>
  <c r="P39" i="1"/>
  <c r="P40" i="1"/>
  <c r="AC6" i="1"/>
  <c r="AC8" i="1" s="1"/>
  <c r="M6" i="1"/>
  <c r="M8" i="1" s="1"/>
  <c r="F13" i="1" s="1"/>
  <c r="O6" i="1"/>
  <c r="O8" i="1" s="1"/>
  <c r="U8" i="1"/>
  <c r="N117" i="1" s="1"/>
  <c r="S8" i="1"/>
  <c r="F8" i="1" s="1"/>
  <c r="G7" i="1" l="1"/>
  <c r="F14" i="1"/>
  <c r="F7" i="1"/>
  <c r="AB9" i="1"/>
  <c r="N119" i="1"/>
  <c r="M117" i="1"/>
  <c r="M119" i="1"/>
  <c r="K117" i="1"/>
  <c r="K119" i="1"/>
  <c r="L117" i="1"/>
  <c r="L119" i="1"/>
  <c r="T9" i="1"/>
  <c r="N9" i="1"/>
  <c r="F16" i="1"/>
  <c r="F17" i="1"/>
  <c r="G8" i="1"/>
  <c r="AB17" i="1" l="1"/>
  <c r="AA17" i="1"/>
  <c r="G13" i="1"/>
  <c r="Q11" i="1"/>
  <c r="D29" i="1" s="1"/>
  <c r="P119" i="1"/>
  <c r="F11" i="1"/>
  <c r="E25" i="1"/>
  <c r="AC17" i="1"/>
  <c r="G14" i="1"/>
  <c r="F10" i="1"/>
  <c r="N17" i="1"/>
  <c r="H14" i="1" s="1"/>
  <c r="H7" i="1"/>
  <c r="B7" i="1" s="1"/>
  <c r="D102" i="1" s="1"/>
  <c r="O17" i="1"/>
  <c r="H13" i="1" s="1"/>
  <c r="Q12" i="1"/>
  <c r="G11" i="1" s="1"/>
  <c r="O117" i="1"/>
  <c r="O119" i="1"/>
  <c r="S17" i="1"/>
  <c r="P117" i="1"/>
  <c r="T17" i="1"/>
  <c r="F9" i="1"/>
  <c r="H8" i="1"/>
  <c r="B8" i="1" s="1"/>
  <c r="D103" i="1" s="1"/>
  <c r="G16" i="1"/>
  <c r="G9" i="1"/>
  <c r="G19" i="1" s="1"/>
  <c r="G17" i="1"/>
  <c r="B13" i="1" l="1"/>
  <c r="D108" i="1" s="1"/>
  <c r="B14" i="1"/>
  <c r="D109" i="1" s="1"/>
  <c r="F19" i="1"/>
  <c r="G10" i="1"/>
  <c r="H9" i="1"/>
  <c r="H19" i="1" s="1"/>
  <c r="Y119" i="1"/>
  <c r="G18" i="1"/>
  <c r="X119" i="1"/>
  <c r="F18" i="1"/>
  <c r="V119" i="1"/>
  <c r="U119" i="1"/>
  <c r="C25" i="1"/>
  <c r="D28" i="1"/>
  <c r="D27" i="1"/>
  <c r="Q119" i="1"/>
  <c r="N19" i="1"/>
  <c r="U17" i="1"/>
  <c r="K48" i="1"/>
  <c r="Q117" i="1"/>
  <c r="K35" i="1" s="1"/>
  <c r="L35" i="1" s="1"/>
  <c r="M15" i="1"/>
  <c r="U15" i="1"/>
  <c r="M17" i="1"/>
  <c r="G15" i="1"/>
  <c r="H16" i="1"/>
  <c r="B16" i="1" s="1"/>
  <c r="D111" i="1" s="1"/>
  <c r="H17" i="1"/>
  <c r="B17" i="1" s="1"/>
  <c r="D112" i="1" s="1"/>
  <c r="F15" i="1"/>
  <c r="Q5" i="1"/>
  <c r="P29" i="1" s="1"/>
  <c r="F12" i="1" l="1"/>
  <c r="H11" i="1"/>
  <c r="B11" i="1" s="1"/>
  <c r="D106" i="1" s="1"/>
  <c r="K55" i="1"/>
  <c r="B19" i="1"/>
  <c r="D114" i="1" s="1"/>
  <c r="B9" i="1"/>
  <c r="D104" i="1" s="1"/>
  <c r="P31" i="1"/>
  <c r="P30" i="1"/>
  <c r="S119" i="1"/>
  <c r="H10" i="1"/>
  <c r="G12" i="1"/>
  <c r="R119" i="1"/>
  <c r="Q29" i="1"/>
  <c r="K37" i="1"/>
  <c r="L37" i="1" s="1"/>
  <c r="K33" i="1"/>
  <c r="L33" i="1" s="1"/>
  <c r="K36" i="1"/>
  <c r="L36" i="1" s="1"/>
  <c r="K34" i="1"/>
  <c r="L34" i="1" s="1"/>
  <c r="D22" i="1"/>
  <c r="P45" i="1"/>
  <c r="P43" i="1"/>
  <c r="P44" i="1"/>
  <c r="L27" i="1"/>
  <c r="L26" i="1"/>
  <c r="L25" i="1"/>
  <c r="O19" i="1"/>
  <c r="L24" i="1"/>
  <c r="L23" i="1"/>
  <c r="L21" i="1"/>
  <c r="L22" i="1"/>
  <c r="H18" i="1"/>
  <c r="B18" i="1" s="1"/>
  <c r="D113" i="1" s="1"/>
  <c r="AA119" i="1"/>
  <c r="H15" i="1"/>
  <c r="B15" i="1" s="1"/>
  <c r="D110" i="1" s="1"/>
  <c r="T119" i="1"/>
  <c r="M48" i="1"/>
  <c r="Q17" i="1"/>
  <c r="H12" i="1" s="1"/>
  <c r="N20" i="1" l="1"/>
  <c r="B10" i="1"/>
  <c r="D105" i="1" s="1"/>
  <c r="B12" i="1"/>
  <c r="D107" i="1" s="1"/>
  <c r="W119" i="1"/>
  <c r="K49" i="1" s="1"/>
  <c r="O48" i="1"/>
  <c r="K56" i="1" l="1"/>
  <c r="K57" i="1"/>
  <c r="K58" i="1"/>
  <c r="K59" i="1"/>
  <c r="K54" i="1"/>
  <c r="M49" i="1"/>
  <c r="Q48" i="1"/>
  <c r="O49" i="1"/>
  <c r="S48" i="1" l="1"/>
  <c r="S49" i="1" s="1"/>
  <c r="Q49" i="1"/>
</calcChain>
</file>

<file path=xl/sharedStrings.xml><?xml version="1.0" encoding="utf-8"?>
<sst xmlns="http://schemas.openxmlformats.org/spreadsheetml/2006/main" count="1364" uniqueCount="676">
  <si>
    <t>v</t>
  </si>
  <si>
    <t>D.O.B</t>
  </si>
  <si>
    <t xml:space="preserve">Name </t>
  </si>
  <si>
    <t>SU YHI LIFE NUMBER</t>
  </si>
  <si>
    <t>:</t>
  </si>
  <si>
    <t>DNA Ibu</t>
  </si>
  <si>
    <t>DNA Ayah</t>
  </si>
  <si>
    <t>Karakter Utama</t>
  </si>
  <si>
    <t>P. Perjalanan(1)</t>
  </si>
  <si>
    <t>P. Perjalanan(2)</t>
  </si>
  <si>
    <t>Anak</t>
  </si>
  <si>
    <t>P. Karir(1)</t>
  </si>
  <si>
    <t>P. Karir(2)</t>
  </si>
  <si>
    <t>Teman</t>
  </si>
  <si>
    <t>P. Pernikahan(1)</t>
  </si>
  <si>
    <t>P. Pernikahan(2)</t>
  </si>
  <si>
    <t>Masa Depan</t>
  </si>
  <si>
    <t>Alam Bawah Sadar</t>
  </si>
  <si>
    <t>SHIO</t>
  </si>
  <si>
    <t>No</t>
  </si>
  <si>
    <t>Elemen</t>
  </si>
  <si>
    <t>LOGAM</t>
  </si>
  <si>
    <t>AIR</t>
  </si>
  <si>
    <t>API</t>
  </si>
  <si>
    <t>KAYU</t>
  </si>
  <si>
    <t>TANAH</t>
  </si>
  <si>
    <t>SIFAT KARAKTER UTAMA</t>
  </si>
  <si>
    <t>THN BERJALAN</t>
  </si>
  <si>
    <t>Elem</t>
  </si>
  <si>
    <t>Exits</t>
  </si>
  <si>
    <t>PERCAYA DIRI</t>
  </si>
  <si>
    <t>F</t>
  </si>
  <si>
    <t>ENERGY</t>
  </si>
  <si>
    <t>TINGGI</t>
  </si>
  <si>
    <t>KURANG BERPIKIR KE DIRI SENDIRI</t>
  </si>
  <si>
    <t>IMPLUSIF</t>
  </si>
  <si>
    <t>NEGATIF</t>
  </si>
  <si>
    <t>MUDAH RAGU RAGU</t>
  </si>
  <si>
    <t>KAKU/TIDAK FLEKSIBEL</t>
  </si>
  <si>
    <t>TERLAHIR SEBAGAI SEORANG YANG AHLI BICARA / KOMUNIKASI</t>
  </si>
  <si>
    <t>TERLAHIR SEBAGAI SEORANG SUKA BERTINDAK</t>
  </si>
  <si>
    <t>TERLAHIR SEBAGAI SEORANG YANG SUKA MEMBUAT RENCANA</t>
  </si>
  <si>
    <t>TERLAHIR SEBAGAI SEORANG PEMIMPIN DIATAS PARA PEMIMPIN</t>
  </si>
  <si>
    <t>TERLAHIR SEBAGAI SEORANG YANG MEMILIKI INDERA KE-6 MENGENAI UANG</t>
  </si>
  <si>
    <t>MAGNET UANG</t>
  </si>
  <si>
    <t>TERLAHIR SEBAGAI SEORANG YG MEMPUNYAI SIFAT TANGGUNG JAWAB</t>
  </si>
  <si>
    <t>PENDENGAR YANG BAIK</t>
  </si>
  <si>
    <t>s</t>
  </si>
  <si>
    <t>MUDAH TERPENGARUH KEADAAN</t>
  </si>
  <si>
    <t>GOSSIP</t>
  </si>
  <si>
    <t>KREATIF &amp; INOVATIF</t>
  </si>
  <si>
    <t>EGOIS &amp; KURANG EMPATI</t>
  </si>
  <si>
    <t xml:space="preserve">KURANG TRANSPARAN &amp; </t>
  </si>
  <si>
    <t>AROGAN &amp; EMOSIONAL</t>
  </si>
  <si>
    <t>KURANG SABAR</t>
  </si>
  <si>
    <t>KURANG MENIMBANG PERASAAN ORANG LAIN</t>
  </si>
  <si>
    <t>DOMINAN, KURANG SABAR</t>
  </si>
  <si>
    <t>PANTANG MENYERAH &amp; MANDIRI</t>
  </si>
  <si>
    <t>PEMIKIR YANG KRITIS &amp; PERCAYA DIRI</t>
  </si>
  <si>
    <t>ORIENTASI TUJUAN &amp; DAPAT DIANDALKAN</t>
  </si>
  <si>
    <t>TELALU BANYAK PIKIRAN (LAMBAT MENGAMBIL KEPUTUSAN)</t>
  </si>
  <si>
    <t>CEPAT KUATIR &amp; MUDAH KECEWA</t>
  </si>
  <si>
    <t>MUDAH MENYATUKAN ORANG</t>
  </si>
  <si>
    <t>TEGAS,STARTEGIS &amp; BERINTERGRITAS</t>
  </si>
  <si>
    <t>SULIT MENERIMA KRITIK &amp; MENDENGAR</t>
  </si>
  <si>
    <t>OTORITER, SOMBONG</t>
  </si>
  <si>
    <t>TERLALU MATERIALISTIS &amp; BOROS</t>
  </si>
  <si>
    <t>PEKA &amp; PANDAI MENGELOLA UANG</t>
  </si>
  <si>
    <t>PEMILIH DALAM BERGAUL</t>
  </si>
  <si>
    <t>TERLALU BERHITUNG &amp; SERAKAH</t>
  </si>
  <si>
    <t>KREATIF DALAM MENCARI PELUANG</t>
  </si>
  <si>
    <t>BANYAK PENDUKUNG &amp; BERJIWA SOSIAL</t>
  </si>
  <si>
    <t>MUDAH BERGAUL &amp; OPTIMIS</t>
  </si>
  <si>
    <t>SOMBONG</t>
  </si>
  <si>
    <t>SUKA CARI PERHATIAN</t>
  </si>
  <si>
    <t>MUDAH TERPENGARUH OPINI</t>
  </si>
  <si>
    <t>MEMPUNYAI ETOS KERJA</t>
  </si>
  <si>
    <t>STRESS&amp;KURANG WAKTU SENDIRI</t>
  </si>
  <si>
    <t>PERFEKSIONIS(SUSAH MENDELEGASI)</t>
  </si>
  <si>
    <t>KHARISMATIK &amp; OPTIMIS (MENTAL KUAT)</t>
  </si>
  <si>
    <t>SULIT MENGONTROL EMOSI &amp; PIKIRAN</t>
  </si>
  <si>
    <t>TIDAK KONSISTEN, EKSPETASI TERLALU TINGGI</t>
  </si>
  <si>
    <t>MUDAH STRESS &amp; TERSUGESTI</t>
  </si>
  <si>
    <t>KUAT DALAM PIKIRAN &amp; KEYAKINAN (APA YANG DIPIKIRKAN AKAN MUDAH DIDAPATKAN)</t>
  </si>
  <si>
    <t>TERLAHIR SEBAGAI SEORANG YANG VISIONER(IMAJINATIF)</t>
  </si>
  <si>
    <t>DIRI</t>
  </si>
  <si>
    <t>SENDIIRI</t>
  </si>
  <si>
    <t>ANAK</t>
  </si>
  <si>
    <t>UANG</t>
  </si>
  <si>
    <t>KARIR</t>
  </si>
  <si>
    <t>PASANGAN</t>
  </si>
  <si>
    <t>POLITIK</t>
  </si>
  <si>
    <t>KESEHATAN</t>
  </si>
  <si>
    <t>PENDUKUNG</t>
  </si>
  <si>
    <t>ORANG TUA</t>
  </si>
  <si>
    <t>WARNA SESUAI ELEMEN</t>
  </si>
  <si>
    <t>(ELEMEN UTAMA)</t>
  </si>
  <si>
    <t>PUTIH, EMAS, APRKOT,PERAK</t>
  </si>
  <si>
    <t>HITAM, BIRU, ABU ABU</t>
  </si>
  <si>
    <t>MERAH, MERAH JAMBU, UNGU, ORANGE</t>
  </si>
  <si>
    <t>HIJAU, CYAN</t>
  </si>
  <si>
    <t>KUNING, KOPI, COKLAT TUA/MUDA</t>
  </si>
  <si>
    <t>WARNA PENDUKUNG ELEMEN</t>
  </si>
  <si>
    <t>WARNA MELEMAHKAN ELEMEN LAIN</t>
  </si>
  <si>
    <t>SIKLUS TAHUN KEBRUNTUNGAN</t>
  </si>
  <si>
    <t>Date &amp; Month</t>
  </si>
  <si>
    <t>Year Of Birth</t>
  </si>
  <si>
    <t>Main Character</t>
  </si>
  <si>
    <t>MISSING NUMBER</t>
  </si>
  <si>
    <t>Basic Character</t>
  </si>
  <si>
    <t>Color According Our Element</t>
  </si>
  <si>
    <t>Color Reinforce Our Element</t>
  </si>
  <si>
    <t>Color Weaken Other Element</t>
  </si>
  <si>
    <t>Today Date</t>
  </si>
  <si>
    <t>Balance Of 5 Elements</t>
  </si>
  <si>
    <t>Preferred Life Planner</t>
  </si>
  <si>
    <t>Suggestion From Teacher</t>
  </si>
  <si>
    <t>Personal Fortune Enlighment</t>
  </si>
  <si>
    <t>CALCULATION SHEET</t>
  </si>
  <si>
    <t>( Teacher )</t>
  </si>
  <si>
    <t>5 Berkat Kehidupan</t>
  </si>
  <si>
    <t>TABEL SHIO BERDASARKAN PENANGGALAN IMLEK (TAHUN BARU IMLEK)</t>
  </si>
  <si>
    <t>Shio (ID)</t>
  </si>
  <si>
    <t>Yin/Yang</t>
  </si>
  <si>
    <t>Karakteristik</t>
  </si>
  <si>
    <t>Api</t>
  </si>
  <si>
    <t>Yang</t>
  </si>
  <si>
    <t>Cerdas, adaptif, oportunis</t>
  </si>
  <si>
    <t>19/02/1901</t>
  </si>
  <si>
    <t>Tanah</t>
  </si>
  <si>
    <t>Yin</t>
  </si>
  <si>
    <t>Tekun, sabar, dapat diandalkan</t>
  </si>
  <si>
    <t>08/02/1902</t>
  </si>
  <si>
    <t>Berani, kompetitif, tidak terduga</t>
  </si>
  <si>
    <t>29/01/1903</t>
  </si>
  <si>
    <t>Logam</t>
  </si>
  <si>
    <t>Lembut, elegan, waspada</t>
  </si>
  <si>
    <t>16/02/1904</t>
  </si>
  <si>
    <t>Kuat, beruntung, karismatik</t>
  </si>
  <si>
    <t>04/02/1905</t>
  </si>
  <si>
    <t>Air</t>
  </si>
  <si>
    <t>Bijaksana, misterius, intuitif</t>
  </si>
  <si>
    <t>25/01/1906</t>
  </si>
  <si>
    <t>Energik, bebas, antusias</t>
  </si>
  <si>
    <t>13/02/1907</t>
  </si>
  <si>
    <t>Kayu</t>
  </si>
  <si>
    <t>Seni, dermawan, pemalu</t>
  </si>
  <si>
    <t>02/02/1908</t>
  </si>
  <si>
    <t>Cerdik, serbabisa, kreatif</t>
  </si>
  <si>
    <t>22/01/1909</t>
  </si>
  <si>
    <t>Pekerja keras, jujur, teliti</t>
  </si>
  <si>
    <t>10/02/1910</t>
  </si>
  <si>
    <t>Setia, jujur, keras kepala</t>
  </si>
  <si>
    <t>30/01/1911</t>
  </si>
  <si>
    <t>Baik hati, murah hati, optimis</t>
  </si>
  <si>
    <t>18/02/1912</t>
  </si>
  <si>
    <t>06/02/1913</t>
  </si>
  <si>
    <t>26/01/1914</t>
  </si>
  <si>
    <t>14/02/1915</t>
  </si>
  <si>
    <t>03/02/1916</t>
  </si>
  <si>
    <t>23/01/1917</t>
  </si>
  <si>
    <t>11/02/1918</t>
  </si>
  <si>
    <t>01/02/1919</t>
  </si>
  <si>
    <t>20/02/1920</t>
  </si>
  <si>
    <t>08/02/1921</t>
  </si>
  <si>
    <t>28/01/1922</t>
  </si>
  <si>
    <t>16/02/1923</t>
  </si>
  <si>
    <t>05/02/1924</t>
  </si>
  <si>
    <t>25/01/1925</t>
  </si>
  <si>
    <t>13/02/1926</t>
  </si>
  <si>
    <t>02/02/1927</t>
  </si>
  <si>
    <t>23/01/1928</t>
  </si>
  <si>
    <t>10/02/1929</t>
  </si>
  <si>
    <t>30/01/1930</t>
  </si>
  <si>
    <t>17/02/1931</t>
  </si>
  <si>
    <t>06/02/1932</t>
  </si>
  <si>
    <t>26/01/1933</t>
  </si>
  <si>
    <t>14/02/1934</t>
  </si>
  <si>
    <t>04/02/1935</t>
  </si>
  <si>
    <t>24/01/1936</t>
  </si>
  <si>
    <t>11/02/1937</t>
  </si>
  <si>
    <t>31/01/1938</t>
  </si>
  <si>
    <t>19/02/1939</t>
  </si>
  <si>
    <t>08/02/1940</t>
  </si>
  <si>
    <t>27/01/1941</t>
  </si>
  <si>
    <t>15/02/1942</t>
  </si>
  <si>
    <t>05/02/1943</t>
  </si>
  <si>
    <t>25/01/1944</t>
  </si>
  <si>
    <t>13/02/1945</t>
  </si>
  <si>
    <t>02/02/1946</t>
  </si>
  <si>
    <t>22/01/1947</t>
  </si>
  <si>
    <t>10/02/1948</t>
  </si>
  <si>
    <t>29/01/1949</t>
  </si>
  <si>
    <t>17/02/1950</t>
  </si>
  <si>
    <t>06/02/1951</t>
  </si>
  <si>
    <t>27/01/1952</t>
  </si>
  <si>
    <t>14/02/1953</t>
  </si>
  <si>
    <t>03/02/1954</t>
  </si>
  <si>
    <t>24/01/1955</t>
  </si>
  <si>
    <t>12/02/1956</t>
  </si>
  <si>
    <t>31/01/1957</t>
  </si>
  <si>
    <t>18/02/1958</t>
  </si>
  <si>
    <t>08/02/1959</t>
  </si>
  <si>
    <t>28/01/1960</t>
  </si>
  <si>
    <t>15/02/1961</t>
  </si>
  <si>
    <t>05/02/1962</t>
  </si>
  <si>
    <t>25/01/1963</t>
  </si>
  <si>
    <t>13/02/1964</t>
  </si>
  <si>
    <t>02/02/1965</t>
  </si>
  <si>
    <t>21/01/1966</t>
  </si>
  <si>
    <t>09/02/1967</t>
  </si>
  <si>
    <t>30/01/1968</t>
  </si>
  <si>
    <t>17/02/1969</t>
  </si>
  <si>
    <t>06/02/1970</t>
  </si>
  <si>
    <t>27/01/1971</t>
  </si>
  <si>
    <t>15/02/1972</t>
  </si>
  <si>
    <t>03/02/1973</t>
  </si>
  <si>
    <t>23/01/1974</t>
  </si>
  <si>
    <t>11/02/1975</t>
  </si>
  <si>
    <t>31/01/1976</t>
  </si>
  <si>
    <t>18/02/1977</t>
  </si>
  <si>
    <t>07/02/1978</t>
  </si>
  <si>
    <t>28/01/1979</t>
  </si>
  <si>
    <t>16/02/1980</t>
  </si>
  <si>
    <t>05/02/1981</t>
  </si>
  <si>
    <t>25/01/1982</t>
  </si>
  <si>
    <t>13/02/1983</t>
  </si>
  <si>
    <t>02/02/1984</t>
  </si>
  <si>
    <t>20/02/1985</t>
  </si>
  <si>
    <t>09/02/1986</t>
  </si>
  <si>
    <t>29/01/1987</t>
  </si>
  <si>
    <t>17/02/1988</t>
  </si>
  <si>
    <t>06/02/1989</t>
  </si>
  <si>
    <t>27/01/1990</t>
  </si>
  <si>
    <t>15/02/1991</t>
  </si>
  <si>
    <t>04/02/1992</t>
  </si>
  <si>
    <t>23/01/1993</t>
  </si>
  <si>
    <t>10/02/1994</t>
  </si>
  <si>
    <t>31/01/1995</t>
  </si>
  <si>
    <t>19/02/1996</t>
  </si>
  <si>
    <t>07/02/1997</t>
  </si>
  <si>
    <t>28/01/1998</t>
  </si>
  <si>
    <t>16/02/1999</t>
  </si>
  <si>
    <t>05/02/2000</t>
  </si>
  <si>
    <t>24/01/2001</t>
  </si>
  <si>
    <t>12/02/2002</t>
  </si>
  <si>
    <t>01/02/2003</t>
  </si>
  <si>
    <t>22/01/2004</t>
  </si>
  <si>
    <t>09/02/2005</t>
  </si>
  <si>
    <t>29/01/2006</t>
  </si>
  <si>
    <t>18/02/2007</t>
  </si>
  <si>
    <t>07/02/2008</t>
  </si>
  <si>
    <t>26/01/2009</t>
  </si>
  <si>
    <t>14/02/2010</t>
  </si>
  <si>
    <t>03/02/2011</t>
  </si>
  <si>
    <t>23/01/2012</t>
  </si>
  <si>
    <t>10/02/2013</t>
  </si>
  <si>
    <t>31/01/2014</t>
  </si>
  <si>
    <t>19/02/2015</t>
  </si>
  <si>
    <t>08/02/2016</t>
  </si>
  <si>
    <t>28/01/2017</t>
  </si>
  <si>
    <t>16/02/2018</t>
  </si>
  <si>
    <t>25/01/2020</t>
  </si>
  <si>
    <t>12/02/2021</t>
  </si>
  <si>
    <t>01/02/2022</t>
  </si>
  <si>
    <t>22/01/2023</t>
  </si>
  <si>
    <t>10/02/2024</t>
  </si>
  <si>
    <t>29/01/2025</t>
  </si>
  <si>
    <t>17/02/2026</t>
  </si>
  <si>
    <t>06/02/2027</t>
  </si>
  <si>
    <t>26/01/2028</t>
  </si>
  <si>
    <t>13/02/2029</t>
  </si>
  <si>
    <t>03/02/2030</t>
  </si>
  <si>
    <t>23/01/2031</t>
  </si>
  <si>
    <t>11/02/2032</t>
  </si>
  <si>
    <t>31/01/2033</t>
  </si>
  <si>
    <t>19/02/2034</t>
  </si>
  <si>
    <t>08/02/2035</t>
  </si>
  <si>
    <t>28/01/2036</t>
  </si>
  <si>
    <t>15/02/2037</t>
  </si>
  <si>
    <t>04/02/2038</t>
  </si>
  <si>
    <t>24/01/2039</t>
  </si>
  <si>
    <t>12/02/2040</t>
  </si>
  <si>
    <t>01/02/2041</t>
  </si>
  <si>
    <t>22/01/2042</t>
  </si>
  <si>
    <t>10/02/2043</t>
  </si>
  <si>
    <t>30/01/2044</t>
  </si>
  <si>
    <t>17/02/2045</t>
  </si>
  <si>
    <t>06/02/2046</t>
  </si>
  <si>
    <t>26/01/2047</t>
  </si>
  <si>
    <t>14/02/2048</t>
  </si>
  <si>
    <t>02/02/2049</t>
  </si>
  <si>
    <t>23/01/2050</t>
  </si>
  <si>
    <t>Shio ditentukan berdasarkan Tahun Baru Imlek · Periode = Tahun Baru Imlek s/d sehari sebelum Tahun Baru Imlek berikutnya</t>
  </si>
  <si>
    <t>18/02/1901</t>
  </si>
  <si>
    <t>07/02/1902</t>
  </si>
  <si>
    <t>28/01/1903</t>
  </si>
  <si>
    <t>15/02/1904</t>
  </si>
  <si>
    <t>03/02/1905</t>
  </si>
  <si>
    <t>24/01/1906</t>
  </si>
  <si>
    <t>12/02/1907</t>
  </si>
  <si>
    <t>01/02/1908</t>
  </si>
  <si>
    <t>21/01/1909</t>
  </si>
  <si>
    <t>09/02/1910</t>
  </si>
  <si>
    <t>29/01/1911</t>
  </si>
  <si>
    <t>17/02/1912</t>
  </si>
  <si>
    <t>05/02/1913</t>
  </si>
  <si>
    <t>25/01/1914</t>
  </si>
  <si>
    <t>13/02/1915</t>
  </si>
  <si>
    <t>02/02/1916</t>
  </si>
  <si>
    <t>22/01/1917</t>
  </si>
  <si>
    <t>10/02/1918</t>
  </si>
  <si>
    <t>31/01/1919</t>
  </si>
  <si>
    <t>19/02/1920</t>
  </si>
  <si>
    <t>07/02/1921</t>
  </si>
  <si>
    <t>27/01/1922</t>
  </si>
  <si>
    <t>15/02/1923</t>
  </si>
  <si>
    <t>04/02/1924</t>
  </si>
  <si>
    <t>24/01/1925</t>
  </si>
  <si>
    <t>12/02/1926</t>
  </si>
  <si>
    <t>01/02/1927</t>
  </si>
  <si>
    <t>22/01/1928</t>
  </si>
  <si>
    <t>09/02/1929</t>
  </si>
  <si>
    <t>29/01/1930</t>
  </si>
  <si>
    <t>16/02/1931</t>
  </si>
  <si>
    <t>05/02/1932</t>
  </si>
  <si>
    <t>25/01/1933</t>
  </si>
  <si>
    <t>13/02/1934</t>
  </si>
  <si>
    <t>03/02/1935</t>
  </si>
  <si>
    <t>23/01/1936</t>
  </si>
  <si>
    <t>10/02/1937</t>
  </si>
  <si>
    <t>30/01/1938</t>
  </si>
  <si>
    <t>18/02/1939</t>
  </si>
  <si>
    <t>07/02/1940</t>
  </si>
  <si>
    <t>26/01/1941</t>
  </si>
  <si>
    <t>14/02/1942</t>
  </si>
  <si>
    <t>04/02/1943</t>
  </si>
  <si>
    <t>24/01/1944</t>
  </si>
  <si>
    <t>12/02/1945</t>
  </si>
  <si>
    <t>01/02/1946</t>
  </si>
  <si>
    <t>21/01/1947</t>
  </si>
  <si>
    <t>09/02/1948</t>
  </si>
  <si>
    <t>28/01/1949</t>
  </si>
  <si>
    <t>16/02/1950</t>
  </si>
  <si>
    <t>05/02/1951</t>
  </si>
  <si>
    <t>26/01/1952</t>
  </si>
  <si>
    <t>13/02/1953</t>
  </si>
  <si>
    <t>02/02/1954</t>
  </si>
  <si>
    <t>23/01/1955</t>
  </si>
  <si>
    <t>11/02/1956</t>
  </si>
  <si>
    <t>30/01/1957</t>
  </si>
  <si>
    <t>17/02/1958</t>
  </si>
  <si>
    <t>07/02/1959</t>
  </si>
  <si>
    <t>27/01/1960</t>
  </si>
  <si>
    <t>14/02/1961</t>
  </si>
  <si>
    <t>04/02/1962</t>
  </si>
  <si>
    <t>24/01/1963</t>
  </si>
  <si>
    <t>12/02/1964</t>
  </si>
  <si>
    <t>01/02/1965</t>
  </si>
  <si>
    <t>20/01/1966</t>
  </si>
  <si>
    <t>08/02/1967</t>
  </si>
  <si>
    <t>29/01/1968</t>
  </si>
  <si>
    <t>16/02/1969</t>
  </si>
  <si>
    <t>05/02/1970</t>
  </si>
  <si>
    <t>26/01/1971</t>
  </si>
  <si>
    <t>14/02/1972</t>
  </si>
  <si>
    <t>02/02/1973</t>
  </si>
  <si>
    <t>22/01/1974</t>
  </si>
  <si>
    <t>10/02/1975</t>
  </si>
  <si>
    <t>30/01/1976</t>
  </si>
  <si>
    <t>17/02/1977</t>
  </si>
  <si>
    <t>06/02/1978</t>
  </si>
  <si>
    <t>27/01/1979</t>
  </si>
  <si>
    <t>15/02/1980</t>
  </si>
  <si>
    <t>04/02/1981</t>
  </si>
  <si>
    <t>24/01/1982</t>
  </si>
  <si>
    <t>12/02/1983</t>
  </si>
  <si>
    <t>01/02/1984</t>
  </si>
  <si>
    <t>19/02/1985</t>
  </si>
  <si>
    <t>08/02/1986</t>
  </si>
  <si>
    <t>28/01/1987</t>
  </si>
  <si>
    <t>16/02/1988</t>
  </si>
  <si>
    <t>05/02/1989</t>
  </si>
  <si>
    <t>26/01/1990</t>
  </si>
  <si>
    <t>14/02/1991</t>
  </si>
  <si>
    <t>03/02/1992</t>
  </si>
  <si>
    <t>22/01/1993</t>
  </si>
  <si>
    <t>09/02/1994</t>
  </si>
  <si>
    <t>30/01/1995</t>
  </si>
  <si>
    <t>18/02/1996</t>
  </si>
  <si>
    <t>06/02/1997</t>
  </si>
  <si>
    <t>27/01/1998</t>
  </si>
  <si>
    <t>15/02/1999</t>
  </si>
  <si>
    <t>04/02/2000</t>
  </si>
  <si>
    <t>23/01/2001</t>
  </si>
  <si>
    <t>11/02/2002</t>
  </si>
  <si>
    <t>31/01/2003</t>
  </si>
  <si>
    <t>21/01/2004</t>
  </si>
  <si>
    <t>08/02/2005</t>
  </si>
  <si>
    <t>28/01/2006</t>
  </si>
  <si>
    <t>17/02/2007</t>
  </si>
  <si>
    <t>06/02/2008</t>
  </si>
  <si>
    <t>25/01/2009</t>
  </si>
  <si>
    <t>13/02/2010</t>
  </si>
  <si>
    <t>02/02/2011</t>
  </si>
  <si>
    <t>22/01/2012</t>
  </si>
  <si>
    <t>09/02/2013</t>
  </si>
  <si>
    <t>30/01/2014</t>
  </si>
  <si>
    <t>18/02/2015</t>
  </si>
  <si>
    <t>07/02/2016</t>
  </si>
  <si>
    <t>27/01/2017</t>
  </si>
  <si>
    <t>15/02/2018</t>
  </si>
  <si>
    <t>04/02/2019</t>
  </si>
  <si>
    <t>24/01/2020</t>
  </si>
  <si>
    <t>11/02/2021</t>
  </si>
  <si>
    <t>31/01/2022</t>
  </si>
  <si>
    <t>21/01/2023</t>
  </si>
  <si>
    <t>09/02/2024</t>
  </si>
  <si>
    <t>28/01/2025</t>
  </si>
  <si>
    <t>16/02/2026</t>
  </si>
  <si>
    <t>05/02/2027</t>
  </si>
  <si>
    <t>25/01/2028</t>
  </si>
  <si>
    <t>12/02/2029</t>
  </si>
  <si>
    <t>02/02/2030</t>
  </si>
  <si>
    <t>22/01/2031</t>
  </si>
  <si>
    <t>10/02/2032</t>
  </si>
  <si>
    <t>30/01/2033</t>
  </si>
  <si>
    <t>18/02/2034</t>
  </si>
  <si>
    <t>07/02/2035</t>
  </si>
  <si>
    <t>27/01/2036</t>
  </si>
  <si>
    <t>14/02/2037</t>
  </si>
  <si>
    <t>03/02/2038</t>
  </si>
  <si>
    <t>23/01/2039</t>
  </si>
  <si>
    <t>11/02/2040</t>
  </si>
  <si>
    <t>31/01/2041</t>
  </si>
  <si>
    <t>21/01/2042</t>
  </si>
  <si>
    <t>09/02/2043</t>
  </si>
  <si>
    <t>29/01/2044</t>
  </si>
  <si>
    <t>16/02/2045</t>
  </si>
  <si>
    <t>05/02/2046</t>
  </si>
  <si>
    <t>25/01/2047</t>
  </si>
  <si>
    <t>13/02/2048</t>
  </si>
  <si>
    <t>01/02/2049</t>
  </si>
  <si>
    <t>22/01/2050</t>
  </si>
  <si>
    <t>31/01/2051</t>
  </si>
  <si>
    <t>Mulai</t>
  </si>
  <si>
    <t xml:space="preserve"> (Tahun Baru Imlek)</t>
  </si>
  <si>
    <t>Sampai</t>
  </si>
  <si>
    <t xml:space="preserve">5 BLESSING NUMBER </t>
  </si>
  <si>
    <t>鼠 Tikus 🐭</t>
  </si>
  <si>
    <t>牛 Kerbau 🐃</t>
  </si>
  <si>
    <t>虎 Macan 🐯</t>
  </si>
  <si>
    <t>兔 Kelinci 🐰</t>
  </si>
  <si>
    <t>龍 Naga 🐲</t>
  </si>
  <si>
    <t>蛇 Ular🐍</t>
  </si>
  <si>
    <t>馬 Kuda 🐴</t>
  </si>
  <si>
    <t>羊 Kambing 🐐</t>
  </si>
  <si>
    <t>猴 Monyet 🐒</t>
  </si>
  <si>
    <t>雞 Ayam 🐓</t>
  </si>
  <si>
    <t>狗 Anjing 🐕</t>
  </si>
  <si>
    <t>豬 Babi 🐷</t>
  </si>
  <si>
    <t>TERLAHIR SEBAGAI SEORANG PEMIMPIN SECARA ALAMI</t>
  </si>
  <si>
    <t>HEBAT DALAM MANAGEMEN(TERMASUK DIRI SENDIRI)</t>
  </si>
  <si>
    <t>CEPAT MENANGKAP PELUANG / MATA TAJAM</t>
  </si>
  <si>
    <t>TELITI &amp; DETAIL (SELALU MENCARI JAWABAN)</t>
  </si>
  <si>
    <t>TERORGANISIR &amp; DISIPLIN &amp; PINTAR MERANGKUM (KESIMPULAN)</t>
  </si>
  <si>
    <t>PUNYA TUJUAN&amp;ARAH JELAS (AHLI NAVIGASI)</t>
  </si>
  <si>
    <t>BANYAK PELUANG &amp; KONEKSI &amp; KETRAMPILAN OBSERVASI YANG KUAT</t>
  </si>
  <si>
    <t>TERLAHIR SEBAGAI SEORANG YANG PALING BERUNTUNG (HAPPY GO LUCKY)</t>
  </si>
  <si>
    <t>JUJUR &amp; BERINTEGRITAS &amp; DERMAWAN</t>
  </si>
  <si>
    <t>INTUITIF,  MUDAH &amp; CEPAT MENARIK PELUANG</t>
  </si>
  <si>
    <t>MENGUTAMAKAN ORANG LAIN (PERHATIAN)</t>
  </si>
  <si>
    <t>MENGGUNAKAN BICARA UNTUK MENGHASILKAN APAPUN</t>
  </si>
  <si>
    <t>MUDAH BERADAPTASI GAYA KOMUNIKASI , RAMAH</t>
  </si>
  <si>
    <t>Mendapatkan Berkat KEBAHAGIAN ( Lahan / Tanah / Perumahan / Aset )</t>
  </si>
  <si>
    <t>Mendapatkan Berkat KEDUDUKAN ( Posisi,  Karir )</t>
  </si>
  <si>
    <t>Mendapatkan Berkat KEPOPULERAN ( Kekuasaan / Orang Pendukung )</t>
  </si>
  <si>
    <t>MENJADI BANGSAWAN</t>
  </si>
  <si>
    <t>MENGUASAI DUNIA</t>
  </si>
  <si>
    <t>MENDAPATKAN HAK ANDA SENDIRI (KUASA)</t>
  </si>
  <si>
    <t>IMPIAN HIDUP (BAWAAN LAHIR)</t>
  </si>
  <si>
    <t>Dalam Segitiga Butuh</t>
  </si>
  <si>
    <t>Impian Hidup (Bawaan Lahir)</t>
  </si>
  <si>
    <t xml:space="preserve">Dalam Segitiga butuh Angka </t>
  </si>
  <si>
    <t>TAHUN UNTUK</t>
  </si>
  <si>
    <t>MEMULAI SESUATU (BISNIS ATAU HAL BAIK APAPUN)</t>
  </si>
  <si>
    <t>KERJASAMA &amp; MENJAGA KESEIMBANGAN</t>
  </si>
  <si>
    <t>MENENTUKAN ARAH &amp; KETEGUHAN</t>
  </si>
  <si>
    <t>MEMANEN UANG (BAGI HASIL)</t>
  </si>
  <si>
    <t>MEMBANGUN RELASI</t>
  </si>
  <si>
    <t>MENIKMATI HASIL (PENUTUP)</t>
  </si>
  <si>
    <t>KEBERUNTUNGAN TINGGI</t>
  </si>
  <si>
    <t>KEBERUNTUNGAN RENDAH</t>
  </si>
  <si>
    <t>KEBERUNTUNGAN SEDANG</t>
  </si>
  <si>
    <t>TRANSISI</t>
  </si>
  <si>
    <t>KEBIJAKSANAAN (MENGERTI MEMBERI &amp; MENERIMA)</t>
  </si>
  <si>
    <t>PENUH KEJUTAN</t>
  </si>
  <si>
    <t>PERSIAPAN SIKLUS BARU YANG LEBIH BAIK</t>
  </si>
  <si>
    <t>PENUH TANTANGAN</t>
  </si>
  <si>
    <t>EVALUASI DARI TAHUN PERTAMA</t>
  </si>
  <si>
    <t>TINDAKAN YANG KONSISTEN</t>
  </si>
  <si>
    <t>KOMITMEN &amp; PANTANG MENYERAH</t>
  </si>
  <si>
    <t>PERENCANAAN TUJUAN, SUMBER DAYA &amp; RESIKO</t>
  </si>
  <si>
    <t>STABILITAS (BUTUH AMAL BAKTI)</t>
  </si>
  <si>
    <t>MEMBANGUN KEKUASAAN</t>
  </si>
  <si>
    <t>MEMBANGUN TANGGUNG JAWAB</t>
  </si>
  <si>
    <t>KEBERUNTUNGAN TERMASUK TINGGI</t>
  </si>
  <si>
    <t>CYCLE OF LUCKY YEAR</t>
  </si>
  <si>
    <t>MENJADI PENGUSAHA, INVESTOR, BANKIR, OLIGARKI</t>
  </si>
  <si>
    <t>MENJADI KETUA PARA PEMIMPIN (CEO, RAJA, KETUA UMUM)</t>
  </si>
  <si>
    <t>MENJADI PENGENDALI SEMUA ORANG</t>
  </si>
  <si>
    <t>MENJADI PLANNER (KONSELOR, KONSULTAN)</t>
  </si>
  <si>
    <t>MENJADI PEMIMPIN (LEADER, DIREKTUR, MANAGER)</t>
  </si>
  <si>
    <t>MENJADI PEMBICARA HANDAL (MOTIVATOR, PENCERAMAH)</t>
  </si>
  <si>
    <t xml:space="preserve"> </t>
  </si>
  <si>
    <t>馬 Kuda 🐴, 狗 Anjing 🐕</t>
  </si>
  <si>
    <t>虎 Macan 🐯, 狗 Anjing 🐕</t>
  </si>
  <si>
    <t>虎 Macan 🐯, 馬 Kuda 🐴</t>
  </si>
  <si>
    <t>龍 Naga 🐲, 猴 Monyet 🐒</t>
  </si>
  <si>
    <t>鼠 Tikus 🐭, 猴 Monyet 🐒</t>
  </si>
  <si>
    <t>鼠 Tikus 🐭, 龍 Naga 🐲</t>
  </si>
  <si>
    <t>蛇 Ular🐍, 雞 Ayam 🐓</t>
  </si>
  <si>
    <t>牛 Kerbau 🐃, 雞 Ayam 🐓</t>
  </si>
  <si>
    <t>羊 Kambing 🐐, 豬 Babi 🐷</t>
  </si>
  <si>
    <t>兔 Kelinci 🐰, 豬 Babi 🐷</t>
  </si>
  <si>
    <t>牛 Kerbau 🐃, 蛇 Ular🐍</t>
  </si>
  <si>
    <t>羊 Kambing 🐐, 兔 Kelinci 🐰</t>
  </si>
  <si>
    <t>牛 Kerbau 🐃, 豬 Babi 🐷</t>
  </si>
  <si>
    <t>豬 Babi 🐷, 鼠 Tikus 🐭</t>
  </si>
  <si>
    <t>兔 Kelinci 🐰, 龍 Naga 🐲</t>
  </si>
  <si>
    <t>龍 Naga 🐲, 虎 Macan 🐯</t>
  </si>
  <si>
    <t>虎 Macan 🐯, 兔 Kelinci 🐰</t>
  </si>
  <si>
    <t>馬 Kuda , 羊 Kambing 🐐</t>
  </si>
  <si>
    <t>羊 Kambing 🐐, 蛇 Ular🐍</t>
  </si>
  <si>
    <t>蛇 Ular🐍, 馬 Kuda 🐴</t>
  </si>
  <si>
    <t>雞 Ayam 🐓, 狗 Anjing 🐕</t>
  </si>
  <si>
    <t>狗 Anjing 🐕, 猴 Monyet 🐒</t>
  </si>
  <si>
    <t>猴 Monyet 🐒, 雞 Ayam 🐓</t>
  </si>
  <si>
    <t>鼠 Tikus 🐭, 牛 Kerbau 🐃</t>
  </si>
  <si>
    <t>Enam Harmoni</t>
  </si>
  <si>
    <t>Tiga Serangkai Duniawi</t>
  </si>
  <si>
    <t>Tiga Cabang Duniawi</t>
  </si>
  <si>
    <t>HUBUNGAN DENGAN SHIO</t>
  </si>
  <si>
    <t>3 SERANGKAI</t>
  </si>
  <si>
    <t>猴 Monyet 🐒, 蛇 Ular🐍, 豬 Babi 🐷</t>
  </si>
  <si>
    <t>Menyakiti, Bertentangan, Jodoh</t>
  </si>
  <si>
    <t>虎 Macan 🐯, 豬 Babi 🐷</t>
  </si>
  <si>
    <t>3 CABANG DUNIAWI</t>
  </si>
  <si>
    <t>DNA AYAH</t>
  </si>
  <si>
    <t>DNA IBU</t>
  </si>
  <si>
    <t>KARAKTER UTAMA</t>
  </si>
  <si>
    <t>2 (Komunikasi), 7 (Orang Pendukung), 9 (Hasil)</t>
  </si>
  <si>
    <t>3 (Tindakan), 6 (Uang)</t>
  </si>
  <si>
    <t>2 (Komunikasi), 4 (Rencana), 9 (Hasil)</t>
  </si>
  <si>
    <t>2 (Komunikasi), 4 (Rencana), 5 (Arah)</t>
  </si>
  <si>
    <t>8 (Bertanggung Jawab), 9 (Hasil)</t>
  </si>
  <si>
    <t>1 (Leader), 2 (Komunikasi), 4 (Rencana)</t>
  </si>
  <si>
    <t>1 (Leader), 5 (Arah), 7 (Orang Pendukung)</t>
  </si>
  <si>
    <t>9 (Hasil)</t>
  </si>
  <si>
    <t>1 (Leader), 4 (Rencana), 5 (Arah),</t>
  </si>
  <si>
    <t>7 (Orang Pendukung), 8 (Bertanggung Jawab), 9 (Hasil)</t>
  </si>
  <si>
    <t>5 (Arah), 7 (Orang Pendukung), 9 (Hasil)</t>
  </si>
  <si>
    <t/>
  </si>
  <si>
    <t>Karir(1)</t>
  </si>
  <si>
    <t>Karir(2)</t>
  </si>
  <si>
    <t>Pernikahan(1)</t>
  </si>
  <si>
    <t>Pernikahan(2)</t>
  </si>
  <si>
    <t>MAKNA DARI GABUNGAN 81 SET ANGKA DI STRUKTUR  13 SET ANGKA DI SEGITIGA DIRI SENDIRI</t>
  </si>
  <si>
    <t>Potensi Terkena Masalah Hukum</t>
  </si>
  <si>
    <t>Potensi Menyebabkan Gagal Bisnis/Karir</t>
  </si>
  <si>
    <t>Potensi Bermasalah di Kesehatan</t>
  </si>
  <si>
    <t>Potensi Memiliki Kekayaan Yang Besar</t>
  </si>
  <si>
    <t>112, 178, 718, 224, 292, 922, 731, 483, 843, 448, 595, 955, 999</t>
  </si>
  <si>
    <t>Potensi Menyebabkan Masalah Keharmonisan Keluarga</t>
  </si>
  <si>
    <t>112, 189, 819, 382, 832, 393, 933, 494, 944, 898, 988</t>
  </si>
  <si>
    <t>112, 123, 213, 167, 191, 911, 134, 314, 145, 279, 729, 415, 382, 832, 483, 843, 786, 876, 887, 999</t>
  </si>
  <si>
    <t>112, 123, 213, 393, 933, 167, 358, 538</t>
  </si>
  <si>
    <t>156, 516, 336, 663, 369, 639, 696, 966, 999</t>
  </si>
  <si>
    <t xml:space="preserve">123, 213, 178, 718, 235, 325, 268, 628, 281, 821, 347, 437, 371, 731, 382, 832, 573, 753, 786, 876, 887 </t>
  </si>
  <si>
    <t>Gabungan Angka Benturan API dan AIR</t>
  </si>
  <si>
    <t>ADA BENTURAN API &amp; AIR</t>
  </si>
  <si>
    <t>P. Hidup(1)</t>
  </si>
  <si>
    <t>P. Hidup(2)</t>
  </si>
  <si>
    <t>Potensi Gagal Bisnis/Karir</t>
  </si>
  <si>
    <t>Potensi Ada Masalah di Keluarga</t>
  </si>
  <si>
    <r>
      <t xml:space="preserve">Notes :  Inside Triangle </t>
    </r>
    <r>
      <rPr>
        <b/>
        <sz val="14"/>
        <color theme="1"/>
        <rFont val="Wingdings 3"/>
        <family val="1"/>
        <charset val="2"/>
      </rPr>
      <t xml:space="preserve"> r </t>
    </r>
  </si>
  <si>
    <t>Potensi Ada Masalah di Kesehatan</t>
  </si>
  <si>
    <t xml:space="preserve">MAKNA DARI GABUNGAN 81 SET </t>
  </si>
  <si>
    <t>Set</t>
  </si>
  <si>
    <t>Makna / Penjelasan</t>
  </si>
  <si>
    <t>Mendapatkan Berkat KEBERUNTUNGAN/KEBIJAKSANAAN (Makan / Kekayaan)</t>
  </si>
  <si>
    <t>Mendapatkan Berkat PANJANG UMUR/KESUKSESAN ( Kesejateraan Hidup - XI YUE HONG )</t>
  </si>
  <si>
    <t>Cenderung Pelit, Semakin Expense Semakin Banyak Yang Di Dapat. Jikalau Laki Laki Mesti Kasih Ke Istri supaya makin beruang, Jikalau Wanita Bisa Buat Suami Makin Kaya (Sangat hemat)</t>
  </si>
  <si>
    <t xml:space="preserve">尤建霖 </t>
  </si>
  <si>
    <t xml:space="preserve">尤建鎮 </t>
  </si>
  <si>
    <t>尤建茗</t>
  </si>
  <si>
    <t>尤添右</t>
  </si>
  <si>
    <t>黄利利</t>
  </si>
  <si>
    <t>Orang Yang Sangat Percaya Diri &amp; Pintar Bicara, 1 org dengan 1 org = komunikasi sangat keras, ada kuasa, status pernikahan yang berbeda/pasti tidak bahagia/ kalaupun pernikakan bahagia, tp tetap satu di sini dan satu di sana, status kesehatan yang kurang dan di atas usia 40 tahun tidak di senangin lagi di ajak bicara oleh orang lain. dan sanagat keras pendirian.</t>
  </si>
  <si>
    <t>Pintar Bicara, Jikalau buat presetasi sangat terstruktur, (-) omongan bisa sangat bagus tetapi orang lain tidak ngerti, bisa nyinggung orang/ sakrkastik, jadi energy harus tinggi</t>
  </si>
  <si>
    <t>Harus Bicara Yang Benar/Jujur, omongan benar, tapi orang lain tidak suka dengarnya, harus ngomong yang bagus, berpikir dengan baik dan omongan jadi baik, bisa jadi jendral dan tidak boleh bilang yang tidak baik</t>
  </si>
  <si>
    <t>Orang yang sangat baik hati (suka menolong), Rajin, Perlu Banyak Belajar Bersabar, Harus Buat Banyak Amal Bakti Baru Bisa Mempunyai Peruntungan, buat usaha apapun sangat stabil. (-) punya rasa dendam/ pendendam, suka ingat yang tidak baik dan yang baik tidak mau di ingat. bisa jadi usahawan / ilmuwan</t>
  </si>
  <si>
    <t>harus selalu berpikiran positif, kalau energy kuat, buat apapun bahagia, kalau enerli rendah bisa di bawa sampai kerumah, harus bisa kontrol emosi, saat bahagia bisa sangat bahagia dan sebaliknya</t>
  </si>
  <si>
    <t>Perlu Meningkatkan Keahlian Untuk Berkembang, Suka Berencana, Jikalaupun berencana mesti bisa buat setting goal yang lebih tinggi (-) keputusan tidak sesuai dengan perencanaan, planning kebanyakan tidak jadi kalau tidak ada angka penolong, sebelum nikah ada perpect dream, begitu nikah beda lagi.</t>
  </si>
  <si>
    <t>Berpikir adalah masalah, Berbuat adalah jawaban. Bisa berhasil dan bisa tidak berhasil. Jangan berpikir, berbuat aja. Energy harus tinggi, banyak rintangan kalau tidak ada angka 9</t>
  </si>
  <si>
    <t>Personal Dirinya Mesti Keluar Dari Kota Kelahiran Untuk Mencari Penghasilan Jikalau Mau Dapat Hasil Yang Besar,  yang penting keluar jalan jalan, karena ada arah, yakin buat apa  bis dapat apa (-) punya hobby yang tidak sehat ( minum, judi dll yang habiskan uang)</t>
  </si>
  <si>
    <t>Perlu Keluar kota untuk mendapatkan hasil yang baik, keluar dari kota kelahiran, kalau ada pressure/ tekanan keluar sebentar.</t>
  </si>
  <si>
    <t>Orang Yang Berbakat Bisnis. Pinter cari tempat makan yang sedap, punya  simpanan khusus. Satu org cari uang, semua orang bisa menikmati uangnya, ada hoki, mau usaha apapun tapi usaha sendiri kalau di kasi modal tidak aman membuat sukses.</t>
  </si>
  <si>
    <t>Jangan menikah sebelum 30 taon, kalau bisnis jangan ambil uang orang tua hidup macam rolly coster (cendrung Boros), selalu maman makanan yang enak, suka traktir orang makan, selsalu berusaha sendiri baru sukses, jgn berpuas diri, akan terus bekerja terus, harus ada simpanan/uang/ jgn di habiskan, terhadap uang sangat sensitif, lebih jaga diri sendiri duluan.</t>
  </si>
  <si>
    <t>Gak Boleh Pinjam Orang Uang/Kendaraan tapi boleh kasih , Gak Boleh Garansi Orang. Jikalau mau peruntungan bagus mesti buat perjalanan ke luar kota minimal 4 jam melalui udara (-) selalu kena masalah hukum, suka di gisipin / di fitnah, masalah kecil yang bisa di jadikan masalah besar, bisa dapat uang global dan tidak boleh jadi pemimpin no. 1</t>
  </si>
  <si>
    <t>boleh buat bisnis international kalau energy positip, kalau negatip bukan masalah dia bisa kena masalah juga (-) suka di gosipin/difitnah, selalu kena masalah hukum. Hal yang tidak boleh dikerjakan : 1. jangn pinjam uang ke orang lain, 2. jgn pinjamkan mobil ke org lain,. 3. tidak boleh menjadi penjamin, 2. jangn janji buatkan kasih orang.</t>
  </si>
  <si>
    <t>Mengerjakan sesuatu hal tidak percaya sama orang lain, kalau energy low ada kondisi ODC, terlalu Pintar, capek sendiri. Untuk usaha yang di lakukan sendiri pasti suskses, harus banyak istirahat. Selalu merasa lebih pintar dari pada orang lain</t>
  </si>
  <si>
    <t>Orang yang sangat sibuk,  Perfeksionis. Kalau Kerja sangat di sukai ama Boss, Kalau tidur kadang kurang lelap suka kebangun karena kepikiran sesuatu. Segala sesuatu buat sampai capek sendiri karena anggap orang lain tidak sanggup. Ada darah tinggi, pendendam, tidak bisa cepat tidur, pikiran terlalu banyak</t>
  </si>
  <si>
    <t>Orang yang Sangat Pintar, Suka Menyendiri, Agak Egois, Kalau enery negatip Bicara agak kasar, segala sesuatu buat sendiri, sangat repot dan tidak suka di bantu orang, suka menyendiri (-) kerja buat sendiri, ngomong bisa nyakitin orang lain</t>
  </si>
  <si>
    <t>Orang Yang Terlalu Pintar Bicara untuk membuat perencanaan, Lembut hati, Tetapi Tidak Bisa Simpan Rahasia, Kalau energy low bisa sering masalah gosip, dan masalah hukum, sangat suka ngomong tapi tidak yakin, karena kurang percaya diri, ngomong suka berulang ulang. selamanya jadi orang yang selalu melewatkan kesempatan. saat energy tinggi, bisa merangcang komunikasi akan banyak sukses, dan kalu low energi, bahasa yang di keluarkan tidak baik, tidak akan sukses. bisa menjadi sales agen yang sangat baik. tidak bisa menyimpan rahasia.</t>
  </si>
  <si>
    <t>Orang Yang Punya Selling Poin Dalam Berbicara, Emosian bisa buat orang sakit hati. Pintar dan suka banyak ngomong. Kalau di segitiga ada no.3, apa yang diomongkan itu ada point.</t>
  </si>
  <si>
    <t>apa yang di omongkan sampai orang nya ngerti, keras kepala, dan kalau ngomong ada arah dan tujuan.</t>
  </si>
  <si>
    <t>Orang yang tidak terlalu perhitungan dalam uang dan kerja. Mesti komunikasi apabila mau mengjhasilkan pendapatan. Energy tinggi keuangan stabil dan semakin meningkat. Energy rendah keuangan semakin menurun. Jika ada 9 uang gampang dapat.</t>
  </si>
  <si>
    <t>Bicara , buat perencanaan maka uang akan datang. Jika ada uang, suka beli barang yang lbh bagus.</t>
  </si>
  <si>
    <t>Orang Yang Punya Daya Tarik Dari Sisi Penampilan, Biasanya Cowoq itu Ganteng dan Ceweq Cantik, ada jodoh dengan orang lain jika anak ada nomer ini bisa berpengaruh terhadap kesehatan orang tua</t>
  </si>
  <si>
    <t>Kalau Energy Rendah Pikiran mereka sangat complicated, sangat suka tanya2 masalah, kalau tidak dapat jawaban, akan tanya sampai puas. Kalau anak ada nomer ini, bisa pengaruh terhadap kesehatan orang tua nya.</t>
  </si>
  <si>
    <t>Orang Yang Sangat Sensitip apabila bicara tentang Uang (Mengeluarkan Uang Harus Punya Alasan Yang Kuat Dan Masuk Akal), harus banyak buat amal supaya uang lancar. Jangan ngomong uang, omong hubungan, nogomong benefit baru mau dengar. Jangan ngomong soal uang dulu, harus ngomong yang lain dlu baru uang akan keluar</t>
  </si>
  <si>
    <t>Investasi Sering salah sasaran yang mengakibatkan kerugian (Tidak Boleh Bisnis Duet Cepat), kalau tidak ada benefit, tidak mau buat. Dapat duit sudah ada tekanan. Jika energy tinggi akan ada kelimpaan, kekayaan yang sempurna, bahagia. Low energy, dapat uang sudah ada tekanan.</t>
  </si>
  <si>
    <t>Orang Yang Ramah (Mulut manis). Jika Laki Laki Orang Pendukungnya Wanita Lebih muda begitu sebaliknya, laki2 sangat tampan, jika perempuan sangat cantik sangat disukai. Punya kharismatik, sangat suka menolong orang dengan rela hati.</t>
  </si>
  <si>
    <t>Jika Laki Laki Orang Pendukungnya Wanita Lebih Tua dan sebalik nya. Banyak jodoh baik dengan orang.</t>
  </si>
  <si>
    <t>Seorang Penjual Yang Baik khusus retail barang barang kecil. Untuk Wanita tidak boleh pakai gelang atau jam tangan, untuk Laki Laki Tidak Boleh Pakai Cincin (Dalam Segitiga Tengah) bisa mengundang kecelakaan khusus karakter utama 281, orangnya sangat pintar. Jika perempuan biasanya sangat sibuk karena semua di kerjakan sendiri.</t>
  </si>
  <si>
    <t>Seorang Penjual Yang Baik khusus retail barang barang besar. Untuk Wanita Jaga Masalah Organ Produksi, Kalau Laki Lakai Prostat (Dalam Segitiga Tengah) dan penyakit tulang. Jika letak di karakter utama wanita, jgn menyetir. Jika menyetir harus mobil besar.</t>
  </si>
  <si>
    <t>Sering berbicara hal yang sudah selesai tapi dibicarakan lagi. Sering Berhubungan Dengan Masalah Hukum, Sangat Cerdas (tidak bisa jadi Bos Mesti Jadi Orang Kedua), Berbuat Sesautu mesti ada bukti. Kalau perempuan bisa bertemu dengan playboy, jika laki2 suka ketemu dengan masalah pengadilan.</t>
  </si>
  <si>
    <t>Jikalau Bertindak, bertindak lagi Uang Akan Datang, Tidak Boleh Judi, Harus Kontrol Emosi, Tidak Bisa Dapat Uang Cepat Tapi Harus Melalui Usaha Yang Benar, tidak bisa dapat uang dengan instant / harus usaha yang besar baru bisa dapat uang besar. Harus investasi bisnis yang jelas.</t>
  </si>
  <si>
    <t>Cocok Untuk Bisnis Jaringan, Mesti Kontrol Emosi Kalau Tidak Gampang Melukai Orang Lain, Seorang Pemimpin Yang Baik Bisa Buat Team Yang Besar ,banyak jodoh dengan orang lain, berekasi aja, rancang saja banyak dapat peluang. Kalau wanita biasanya sangat cantik.</t>
  </si>
  <si>
    <t>tidak boleh banyak emosi, gampang sukses dan gampang jatuh bisa energy lor, usahawan yang berperancang sudah ada. Tinggal bergabung team builder. Kalau sudah bangun team harus jaga emosi.</t>
  </si>
  <si>
    <t>Uang Datang Sendiri Tetapi Perlu Buat Amal Bakti Yang Banyak, Seorang Public Relation Dan Sangat Bertanggung Jawab, Kerja Banyak Tapi Tak Ada Hasil, kalau kerja harus di kerjakan dengan setulus hati, kerja sangat rajin. Recruit orang yang punya angka ini, tap harus ada angka 9</t>
  </si>
  <si>
    <t>Buat Banyak / Kerja saja mengenai kompensasi tidak terlalu perhitungan. Apabila dalam seitiga tidak ada 2 hasilnya bisa ribut aja, semakin tua, emosi sekamik tidak baik. Org ini selalu tau tempat makan enak dan tempat makan murah.</t>
  </si>
  <si>
    <t>Pinter Cari Uang Pintar Juga Habisinnya. Harus Sering Bergaul Dengan Banyak Orang. Kalau energy rendah, uang cepat habis, kalau positif kemanapun pergi selalu bisa dpat uang. Jika energy rendah, keluar rumah sebentar apalagi sedang emosi, lebih baik keluar rumah.</t>
  </si>
  <si>
    <t>Jikalau Energy Tinggi, Bisa Menggunakan Kondisi Untuk Menghasilkan Uang, Jikalau energy negatip  menjadi Komsumtif. Kalau sukses apapun oke, mau kemanapun oke karena ada uang. Harus jalan baru ada uang. Ada relasi banyak baru ada bnyak peluang. Bnyak pindah bnyk rezeki. kalau tidak ada angka 4, konsumtif, kalau bisa 4 tahun sekli pindah rumah.</t>
  </si>
  <si>
    <t>Orang Yang Tidak Mau Mengalah, Ego Tinggi, Tidak Boleh Pegang Uang. Kemampuan harus banyak perlu bantuan dari oang lain. Harus banyak berpikir baru bisa sukses ( harus ada angka 9), jangan pegang keuangan, bisa kena masalah keuangan. Tidak bisa jadi bos utama atau ceo ( manager boleh)</t>
  </si>
  <si>
    <t>pemimpin yang sangat yakin dengan diri sendiri, dengan beri arahan saja kerja pasti sukses. Jika tidak ada 9, buat sampai capek reward yang di dapat sedikit. Harus waspada dengan siau jin karena tidak bisa membedakan sauijin dengan kuijin. Wajib ada angka 5</t>
  </si>
  <si>
    <t>Penjual / Sales Yang Hebat, tidak boleh banyak emosi/ kalau uda emosi mending pergi, kalau perempuan sangat cantik, kalau laki laki sangat pintar gombalin cewek. Bila bisa jaga emosi, banyak orang yang senangin orang ini.</t>
  </si>
  <si>
    <t>Cepat Naik Emosi dan tidak Stabil, Kalau energy positip bisa handle banyak masalah. Orang yang sangat lihai, dan komunikatif. Laki2 sangat tampan, dan perempuan sangat cantik, suka ngomong2 sehingga buat orang tersinggung jika energy negatif, jika energy positif, ngomong sangat bagus, sangat manis sehingga bisa banyak berjodoh dengan orang lain</t>
  </si>
  <si>
    <t>Selalu Bermasalah, Cari Kegiatan Yang Sebaiknya Membuahkan Hasil (Mis : Guru/Trainer), Kalau energy rendah gampang attract penyakit terutama tumor, dapat uang pun tidak ada guna/ harus banyak buat amal kebajikan. Kalau join usaha dengan orang lain akan kena cancer. kalau laki2 jgn menghianati/aborsi, akan kena kanker</t>
  </si>
  <si>
    <t>(Perlu Jaga Kesehatan). Energy Tinggi, Pintar Berencana, Kalau Rencana itu bagus, Akan Mendapatkan Support. Kalau energy negatif bisa terlalu  banyak pikir dan akhirnya stress, laki2 bisa ketemu kasus hukum. Perempuan bia bertemu playboy</t>
  </si>
  <si>
    <t>Punya Nasib Jadi BOS, Perlu Buat Bisnis Sendiri, Kalau Energy Rendah.. Mudah Terpengaruh Perkataan Orang Lain, kalau masi kerja sama orang, kehidupan tidak begitu baik. Harus beli property. Jika set ke 6, bisa jadi bos dan ada harta kasih anak cucu. harus buka usaha sendiri jgn kerja dengan orang</t>
  </si>
  <si>
    <t>Punya arah (leader of leader), Tau Planning Pasti dapat hasil, Kalau Energy Rendah MIMPI lah. Fokus 1 saja jangan semua, di atas 40 buat usaha sendiri, kalau tidak banyak rintangan ada pengaruh ke anak cucu juga. Bisa tau usaha apa yang cocok pasti cocok.</t>
  </si>
  <si>
    <t>Orang Yang Pintar Mengatur Keuangan Tetapi Tidak Boleh Investasi Sendiri, kalau low energy, rancang apapun gampang ketemu masalah. Biasanya financial consultant</t>
  </si>
  <si>
    <t>Seorang Financial Advisor Yang Handal, kalau perempuan, gampang ketemu dengan laki2 yang porotin uang. Harusnya pakai dengan uang tapi pakai perasaan akhirnya uang tidak ada, perasaan juga tidak ada, tinggal sendiri saja.</t>
  </si>
  <si>
    <t>Orang Yang Suka Memberi Saran dan Perencanaan, Typekal Analitik Tapi Sering Ragu Ragu,  (Pinter membuat perencanaan pasti ada pendukung asal mau dibicarakan) jika ada no 9, buat apapun dapat di lihat org, bisa naik top. Buat apapun sangat rajin/ banyak bantuan orang. banyak kuijin, banyak disukai orang dari kecil sampai tua karena orang rela hati bantu karna leluhur banyak buat karma baik. kalau urang 3 di segitiga, action kurang.</t>
  </si>
  <si>
    <t>Gampang Mendapatkan Apa Yang Diinginkan, energy tinggi akan ketemu jodoh baik/bala bantuan (-) omong saja tidak ada aksi. Jgn banyak omong.</t>
  </si>
  <si>
    <t>Typekal Orang Yang Mengutamakan Profesional dalam Kerja  (Jangan Menjadi Orang No. 1 walaupun ini bisnis sendiri), perfectionis. Banyak yang di pikir, semakin di pikir semakin ribet. Ada orang ke 3. jika energy rendah bakal cerai. Orang yang lihai, jika angka ini muncul di set 6 pernikahan bisa cerai. dan kesehatan harus di jaga.</t>
  </si>
  <si>
    <t>Kalau Bisnis Harus Fokus dan Menjadikan bisnis ini menjadi Bisnis Yang Proffesional. Udah tinggi selalu ingin lebih tinggi layak profesor. Jika di karakter utama, ada orang ke 3 bisa cerai jika energy rendah. Kalau malas bisa demensia.</t>
  </si>
  <si>
    <t>Orang Yang Hebat Dalam Berstrategy, Terlalu Banyak Berpikir (Perlu 2 Pekerjaan), banyak pemikir, bisa ada masalah di liver harus cepat tidur. Usahawanyang dapat multiple income. Bisa sangat sukses.</t>
  </si>
  <si>
    <t>Perlu Banyak Orang Pendukung &amp; Perlu Orang Pintar Yang Membimbing (Lead Of Lead, Punya Arah Akan Menjadi Pemimpin Yang Hebat dalam segitiga perlu ada 3 dan 9) pemimpin di atas pemimpin. Jika energy rendah, bisa bunuh diri dan harus sering ajak bergaul orang ini. sangat gampang emosi. dan kalau tidak ada angka 9 akan mudah depresi.</t>
  </si>
  <si>
    <t>perempuan bisa buat uang suami banyak kalau laki2 uang semakin banyak. Uang suami harus banyak kasih ke istri. Kalau belum menikah, uang pakai aja. Akan semakin banyak. Yang seharusnya dipakai harus di pakai. Setelah terima uang katakan terima kasih maka akan datang semakin banyak.</t>
  </si>
  <si>
    <t>Orang Yang Mempunyai Pendukung Yang Banyak, ada power, ada jabatan. Harus hati2, anakan akan balasbudi, harus ada 9, akan dapat pengakuan. Orang yang banyak ilmu. Jgn senang berjanji, kalau tidak ditepati menjadi musuh</t>
  </si>
  <si>
    <t>Jikalau Energy Positip Tidak ada Orang Yang Berani Menggangu begitupula sebaliknya (Kalau Energy kita rendah, orang yang datang selalu menghabiiskan duit anda) Kalau Energy Tinggi Itu Orang Yang Datang Orang Yang Millioner  Yang Datang Mendukung. Jika energy rendah, orang di sekeliling banyak kasih masalah, anak ga berani mendekati. kalau di set 6, anak datang habuisin uang saja. menyusahakn orang tua. harus energy tinggi supaya anak tidak menyusahkan orang tua.</t>
  </si>
  <si>
    <t>Orang Yang Bisa Buat Bisnis Sangat Besa Jikalau Energy Positip, Mesti Kuat Amal Bakti. Kalau di posisi main karakter, bisa pengaruh ke anak, kesehatan karir, pasangan maupun org tua. Energy tinggi, apa yang di omongin bagus bisa dapat yang bagus, pemikiran bagus dapat bagus. bisa legowo</t>
  </si>
  <si>
    <t>Orang Yang Selalu Risau, Dalam Segitiga Perlu Konsultasi Kesehatan, proses kehidupan banyak rintangan.</t>
  </si>
  <si>
    <t>Orang apapun berani buat (Baik Yg Baik atau sebaliknya), Sangat Hebat Dalam Meminpin, Keras Kepala dan Perlu Keluar Kota Untuk Mencari Nafkah, orang yang sangat pemberani, pilihan bagus dapat bagus.</t>
  </si>
  <si>
    <t>Jikalau Bertindak, bertindak lagi Uang Akan Datang, Tidak Boleh Judi, Harus Kontrol Emosi, Perlu Kontrol Financial, seumur hidup jangan suka investasi, beli properti aja dapat uang</t>
  </si>
  <si>
    <t>Orang Yang Type Agak Sombong, Punya Bakat khusus, Punya Standar Khusus , Jago Buat Perencanaan Keuangan, punya kemampuan/ sangat pintar, susah berteman karena pemilih, mau peluang, ada plan aja uang uda datang. Bila di main karakter, orang yang tidak suka senyum</t>
  </si>
  <si>
    <t>banyak jodoh dan di senangin orang, tidak suka gossip, harus ada 9, ada rancang aja peluang sudah ada. Harus ada angka 9 &amp; 5. bisa jadi usahawan yang sukses.</t>
  </si>
  <si>
    <t>Orang Yang Dasarnya dilahir Bernasib Mujur, tetapi perlu buat Amal Bakti (Agar Uang Bisa Datang Begitu Saja), harus ada agama agar bisa guiding hidup lbh lancar, energy rendah bisa susah. Jika karakter utama, tidak ada agama bisa susah. Jika di set 6, anak pakai uangmu.</t>
  </si>
  <si>
    <t>Orang Yang Dasarnya dilahir Bernasib Mujur, tetapi perlu buat Amal Bakti (Agar Uang Bisa Datang Begitu Saja). Harus buat yang berguna untuk orang lain, nasib akan kurang baik bila tidak buat amal baik. Tidak boleh cepat nikah karena bisa efek ke anak, kesehatan.</t>
  </si>
  <si>
    <t>Orang Yang Punya Dewa Rezeki Dari bawaan lahir (perlu amal bakti), Perlu Tau Bagaimana mengkoneksikan antara uang masuk dan uang keluar (Simpan Uang) karakter utama set, 1,3, 6 dan 12 (nama tiadk ada yang bagus sebagai guiding) maka keberuntungan cari makan susah, kesehatan terganggu.</t>
  </si>
  <si>
    <t>Type Orang Yang Suka dan Memprioritas Kesetiaan Dalam Berhubungan Tetapi Punya Sifat Pendendam, Banyak Pendukung Setia, kalau berbuat baik 1 akan di balas 10, energy tinggi bisa jadi leader, orang yang sangat tau budi, pemimpin yang hebat.</t>
  </si>
  <si>
    <t>Wanita Sebaiknya buat bisnis yang biasa lelaki buat, kalau pria sebaliknya  (Pendukungnya Lebih Muda), Hati hati masalah keluarga rentan perselingkuhan. Banyak orang yang membantu. Banyak dewa penolong, harus ada good attitude, tapi kalau kuijin di manfaatin akan jadi siojin</t>
  </si>
  <si>
    <t>Wanita Sebaiknya buat bisnis yang biasa lelaki buat, kalau pria sebaliknya  (Pendukungnya Lebih Tua), Hati hati masalah keluarga rentan perselingkuhan, gampang dapat uang, kuijin lawan jenis, jika di set karir &amp; partner, thau hua sangat banyak. Jika di set 876 di set 6, anak sulung harus laki2</t>
  </si>
  <si>
    <t>Pintar Buat Bisnis dan Banyak Bisnis, Cepat Emosian, Susah Fokus, banyak ketemu orang, harus banyak liat masalah orang. Jika energy rendah ketemu masalah dengan orang lain dan dapat bermacam2 masalah</t>
  </si>
  <si>
    <t>Orang Yang Sangat Tanggung Jawab / Disiplin, Lebih cepat emosian, orang yang sangat steady, emosi yang sangat tidak stabil. Jika orang ini belikan makan, cukup katakan terima kasih. Jgn balas belikan makan nnt di kira pandang rendah. Jika low energy, orang di samping pergi semua.</t>
  </si>
  <si>
    <t>Jiwa Pengusaha Sangat Besar, Mudah Stress Karena Semua Dikerjain Sendiri, sangat lelah, kerjaan ga ada habisnya, banyak tanggung jawab dan tekanan, dan banyak urus urusan orang lain. Energy tinggi, orang yang sangat sukses. Jika energi rendah, masalah akan datang terus.</t>
  </si>
  <si>
    <t>Selalu Bermasalah, Cari Kegiatan Yang Sebaiknya Membuahkan Hasil (Mis : Guru/Trainer), Kalau energy rendah gampang attract penyakit terutama tumor, sangat cepat belajar/ lait aja cepat tau, jika ketemu aliran tahun 3,6,8 harus pergi cek kesehatan. Tidak bisa duduk diam, kalau ada anak bisa sangat repot, kawatir tidak ada habis.</t>
  </si>
  <si>
    <t>banyak pikir, jika di karakter utama ada multiple income, jangn serakah klo energy rendah banyak tidak ada yang sukses, jgn liat org lain bisnis bagus, yang lain ditutup.</t>
  </si>
  <si>
    <t>pemberani, buat apapun sangat berani kalau energy positif tinggi</t>
  </si>
  <si>
    <t>Most Elegant Of Wealth, banyak uang. Harus ada nama tek baru bisa ada chai contoh te wei, te su. Jika nama tidak ada penolong maka uang lau chai.</t>
  </si>
  <si>
    <t>stress berlebih</t>
  </si>
  <si>
    <t>Terlalu Banyak Peluang, Energy Mesti Tinggi Sekali, Bisa Jadi Raja Atau Tahanan, Bisa Sukses Besar Atau Gagal Total,  Rumah Tangga Bisa Sangat harmonis Atau Tinggal Diri Sendiri, tuaho tuaphai. Energy tinggi bisa jadi sukses besar, energy rendah bisa jadi pengemis atau tekena masalah hukum. bila di main karakter, beli barang harus yang high quality, jiak di set 6, anak sulung opposit dengan kita, jika di set 9, tidak ada teman sejati, tinggal sendiri saja.</t>
  </si>
  <si>
    <t>Sering berbicara hal yang sudah selesai tapi dibicarakan lagi. Sering Berhubungan Dengan Masalah Hukum, Sangat Cerdas (tidak bisa jadi Bos Mesti Jadi Orang Kedua), Berbuat Sesautu mesti ada bukti. Kalau perempuan bisa bertemu dengan playboy, jika laki2 suka ketemu dengan masalah pengadilan., lebih suka banyak cakap, apa yang sudh di tanya suka tanya kembali. Diri sendiri yang buktikan sendiri karena sudah pengalaman.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</si>
</sst>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dd/mm/yyyy;@"/>
  </numFmts>
  <fonts count="61" x14ac:knownFonts="1">
    <font>
      <sz val="11"/>
      <color theme="1"/>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sz val="12"/>
      <color rgb="FFFF0000"/>
      <name val="Wingdings"/>
      <charset val="2"/>
    </font>
    <font>
      <b/>
      <sz val="22"/>
      <color theme="1"/>
      <name val="Calibri"/>
      <family val="2"/>
      <scheme val="minor"/>
    </font>
    <font>
      <b/>
      <sz val="12"/>
      <color theme="1"/>
      <name val="Calibri"/>
      <family val="2"/>
      <scheme val="minor"/>
    </font>
    <font>
      <i/>
      <sz val="11"/>
      <color theme="1"/>
      <name val="Calibri"/>
      <family val="2"/>
      <scheme val="minor"/>
    </font>
    <font>
      <i/>
      <sz val="12"/>
      <color theme="1"/>
      <name val="Calibri"/>
      <family val="2"/>
      <scheme val="minor"/>
    </font>
    <font>
      <b/>
      <sz val="11"/>
      <color theme="4"/>
      <name val="Calibri"/>
      <family val="2"/>
      <scheme val="minor"/>
    </font>
    <font>
      <sz val="16"/>
      <color rgb="FFFF0000"/>
      <name val="Calibri"/>
      <family val="2"/>
    </font>
    <font>
      <b/>
      <sz val="16"/>
      <color rgb="FFFF0000"/>
      <name val="Calibri"/>
      <family val="2"/>
    </font>
    <font>
      <b/>
      <sz val="14"/>
      <color rgb="FFFF0000"/>
      <name val="Wingdings"/>
      <charset val="2"/>
    </font>
    <font>
      <b/>
      <sz val="12"/>
      <color rgb="FFFF0000"/>
      <name val="Wingdings"/>
      <charset val="2"/>
    </font>
    <font>
      <b/>
      <sz val="12"/>
      <color theme="9" tint="-0.499984740745262"/>
      <name val="Wingdings"/>
      <charset val="2"/>
    </font>
    <font>
      <sz val="11"/>
      <name val="Calibri"/>
      <family val="2"/>
      <scheme val="minor"/>
    </font>
    <font>
      <b/>
      <i/>
      <sz val="12"/>
      <color theme="9" tint="-0.499984740745262"/>
      <name val="Calibri"/>
      <family val="2"/>
      <scheme val="minor"/>
    </font>
    <font>
      <b/>
      <i/>
      <sz val="12"/>
      <color rgb="FFFF0000"/>
      <name val="Calibri"/>
      <family val="2"/>
      <scheme val="minor"/>
    </font>
    <font>
      <b/>
      <i/>
      <sz val="11"/>
      <color rgb="FF0070C0"/>
      <name val="Calibri"/>
      <family val="2"/>
      <scheme val="minor"/>
    </font>
    <font>
      <b/>
      <sz val="12"/>
      <color theme="9" tint="-0.499984740745262"/>
      <name val="Calibri"/>
      <family val="2"/>
      <scheme val="minor"/>
    </font>
    <font>
      <b/>
      <sz val="12"/>
      <color rgb="FFC00000"/>
      <name val="Calibri"/>
      <family val="2"/>
      <scheme val="minor"/>
    </font>
    <font>
      <b/>
      <sz val="16"/>
      <color rgb="FF0070C0"/>
      <name val="Calibri"/>
      <family val="2"/>
      <scheme val="minor"/>
    </font>
    <font>
      <i/>
      <sz val="10"/>
      <color theme="1"/>
      <name val="Calibri"/>
      <family val="2"/>
      <scheme val="minor"/>
    </font>
    <font>
      <b/>
      <sz val="16"/>
      <color theme="1"/>
      <name val="Calibri"/>
      <family val="2"/>
      <scheme val="minor"/>
    </font>
    <font>
      <b/>
      <i/>
      <sz val="12"/>
      <name val="Calibri"/>
      <family val="2"/>
    </font>
    <font>
      <b/>
      <sz val="12"/>
      <name val="Calibri"/>
      <family val="2"/>
      <scheme val="minor"/>
    </font>
    <font>
      <b/>
      <sz val="12"/>
      <color rgb="FFED0000"/>
      <name val="Wingdings"/>
      <charset val="2"/>
    </font>
    <font>
      <b/>
      <i/>
      <sz val="12"/>
      <color rgb="FFED0000"/>
      <name val="Calibri"/>
      <family val="2"/>
      <scheme val="minor"/>
    </font>
    <font>
      <b/>
      <sz val="11"/>
      <color rgb="FFED0000"/>
      <name val="Calibri"/>
      <family val="2"/>
      <scheme val="minor"/>
    </font>
    <font>
      <b/>
      <sz val="11"/>
      <color rgb="FFA66500"/>
      <name val="Calibri"/>
      <family val="2"/>
      <scheme val="minor"/>
    </font>
    <font>
      <b/>
      <sz val="11"/>
      <color rgb="FF60A500"/>
      <name val="Calibri"/>
      <family val="2"/>
      <scheme val="minor"/>
    </font>
    <font>
      <b/>
      <i/>
      <sz val="12"/>
      <name val="Calibri"/>
      <family val="2"/>
      <scheme val="minor"/>
    </font>
    <font>
      <sz val="12"/>
      <color rgb="FFFF0000"/>
      <name val="Calibri"/>
      <family val="2"/>
    </font>
    <font>
      <b/>
      <sz val="14"/>
      <color theme="1"/>
      <name val="Calibri"/>
      <family val="2"/>
      <scheme val="minor"/>
    </font>
    <font>
      <b/>
      <sz val="14"/>
      <color rgb="FFFFFFFF"/>
      <name val="Arial"/>
      <charset val="1"/>
    </font>
    <font>
      <i/>
      <sz val="10"/>
      <color rgb="FF8B0000"/>
      <name val="Arial"/>
      <charset val="1"/>
    </font>
    <font>
      <b/>
      <sz val="11"/>
      <color rgb="FFFFFFFF"/>
      <name val="Arial"/>
      <charset val="1"/>
    </font>
    <font>
      <sz val="10"/>
      <name val="Arial"/>
      <charset val="1"/>
    </font>
    <font>
      <b/>
      <sz val="11"/>
      <color rgb="FFFFFFFF"/>
      <name val="Arial"/>
      <family val="2"/>
    </font>
    <font>
      <b/>
      <sz val="18"/>
      <color theme="9" tint="-0.249977111117893"/>
      <name val="Calibri"/>
      <family val="2"/>
      <scheme val="minor"/>
    </font>
    <font>
      <sz val="11"/>
      <color rgb="FFC00000"/>
      <name val="Arial Rounded MT Bold"/>
      <family val="2"/>
    </font>
    <font>
      <b/>
      <sz val="14"/>
      <color theme="9" tint="-0.499984740745262"/>
      <name val="Calibri"/>
      <family val="2"/>
      <scheme val="minor"/>
    </font>
    <font>
      <b/>
      <sz val="14"/>
      <color rgb="FFFF0000"/>
      <name val="Calibri"/>
      <family val="2"/>
      <scheme val="minor"/>
    </font>
    <font>
      <sz val="12"/>
      <color rgb="FF00B050"/>
      <name val="Calibri"/>
      <family val="2"/>
      <scheme val="minor"/>
    </font>
    <font>
      <b/>
      <sz val="12"/>
      <color rgb="FF0070C0"/>
      <name val="Wingdings"/>
      <charset val="2"/>
    </font>
    <font>
      <b/>
      <sz val="11"/>
      <color rgb="FF0070C0"/>
      <name val="Calibri"/>
      <family val="2"/>
      <scheme val="minor"/>
    </font>
    <font>
      <b/>
      <sz val="16"/>
      <color theme="9" tint="-0.499984740745262"/>
      <name val="Calibri"/>
      <family val="2"/>
      <scheme val="minor"/>
    </font>
    <font>
      <b/>
      <sz val="16"/>
      <color theme="9" tint="-0.499984740745262"/>
      <name val="Calibri"/>
      <family val="2"/>
    </font>
    <font>
      <b/>
      <i/>
      <sz val="12"/>
      <color theme="1"/>
      <name val="Calibri"/>
      <family val="2"/>
      <scheme val="minor"/>
    </font>
    <font>
      <sz val="10"/>
      <name val="Arial"/>
      <family val="2"/>
    </font>
    <font>
      <b/>
      <sz val="12"/>
      <color rgb="FFFF0000"/>
      <name val="Calibri"/>
      <family val="2"/>
      <scheme val="minor"/>
    </font>
    <font>
      <b/>
      <sz val="20"/>
      <color theme="1"/>
      <name val="Century Gothic"/>
      <family val="2"/>
    </font>
    <font>
      <b/>
      <i/>
      <sz val="11"/>
      <color theme="1"/>
      <name val="Calibri"/>
      <family val="2"/>
      <scheme val="minor"/>
    </font>
    <font>
      <i/>
      <sz val="12"/>
      <color rgb="FF0070C0"/>
      <name val="Calibri"/>
      <family val="2"/>
      <scheme val="minor"/>
    </font>
    <font>
      <i/>
      <sz val="16"/>
      <color rgb="FF0070C0"/>
      <name val="Calibri"/>
      <family val="2"/>
      <scheme val="minor"/>
    </font>
    <font>
      <i/>
      <sz val="14"/>
      <color theme="1"/>
      <name val="Calibri"/>
      <family val="2"/>
      <scheme val="minor"/>
    </font>
    <font>
      <sz val="12"/>
      <color theme="0"/>
      <name val="Calibri"/>
      <family val="2"/>
      <scheme val="minor"/>
    </font>
    <font>
      <b/>
      <sz val="14"/>
      <color theme="1"/>
      <name val="Wingdings 3"/>
      <family val="1"/>
      <charset val="2"/>
    </font>
    <font>
      <sz val="12"/>
      <name val="Calibri"/>
      <family val="2"/>
    </font>
    <font>
      <b/>
      <sz val="18"/>
      <color theme="1"/>
      <name val="等线 Light"/>
      <charset val="134"/>
    </font>
    <font>
      <sz val="16"/>
      <color theme="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DC143C"/>
        <bgColor rgb="FF993366"/>
      </patternFill>
    </fill>
    <fill>
      <patternFill patternType="solid">
        <fgColor rgb="FF8B0000"/>
        <bgColor rgb="FF800000"/>
      </patternFill>
    </fill>
    <fill>
      <patternFill patternType="solid">
        <fgColor theme="1" tint="0.34998626667073579"/>
        <bgColor indexed="64"/>
      </patternFill>
    </fill>
  </fills>
  <borders count="7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diagonalDown="1">
      <left/>
      <right/>
      <top/>
      <bottom/>
      <diagonal style="thin">
        <color auto="1"/>
      </diagonal>
    </border>
    <border>
      <left/>
      <right/>
      <top/>
      <bottom style="double">
        <color indexed="64"/>
      </bottom>
      <diagonal/>
    </border>
    <border diagonalDown="1">
      <left/>
      <right/>
      <top style="thin">
        <color indexed="64"/>
      </top>
      <bottom/>
      <diagonal style="thin">
        <color auto="1"/>
      </diagonal>
    </border>
    <border diagonalUp="1">
      <left/>
      <right/>
      <top style="thin">
        <color indexed="64"/>
      </top>
      <bottom/>
      <diagonal style="thin">
        <color indexed="64"/>
      </diagonal>
    </border>
    <border diagonalUp="1">
      <left/>
      <right/>
      <top/>
      <bottom/>
      <diagonal style="thin">
        <color auto="1"/>
      </diagonal>
    </border>
    <border diagonalUp="1" diagonalDown="1">
      <left/>
      <right/>
      <top/>
      <bottom/>
      <diagonal style="thin">
        <color auto="1"/>
      </diagonal>
    </border>
    <border diagonalUp="1">
      <left/>
      <right/>
      <top/>
      <bottom style="thin">
        <color indexed="64"/>
      </bottom>
      <diagonal style="thin">
        <color auto="1"/>
      </diagonal>
    </border>
    <border diagonalDown="1">
      <left/>
      <right/>
      <top/>
      <bottom style="thin">
        <color indexed="64"/>
      </bottom>
      <diagonal style="thin">
        <color auto="1"/>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style="medium">
        <color indexed="64"/>
      </left>
      <right style="medium">
        <color indexed="64"/>
      </right>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s>
  <cellStyleXfs count="1">
    <xf numFmtId="0" fontId="0" fillId="0" borderId="0"/>
  </cellStyleXfs>
  <cellXfs count="265">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horizontal="right"/>
    </xf>
    <xf numFmtId="0" fontId="1" fillId="0" borderId="0" xfId="0" applyFont="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0" fillId="0" borderId="6" xfId="0" applyBorder="1"/>
    <xf numFmtId="0" fontId="0" fillId="0" borderId="7" xfId="0" applyBorder="1"/>
    <xf numFmtId="0" fontId="0" fillId="0" borderId="8" xfId="0" applyBorder="1"/>
    <xf numFmtId="0" fontId="4" fillId="0" borderId="0" xfId="0" applyFont="1" applyAlignment="1">
      <alignment horizontal="center"/>
    </xf>
    <xf numFmtId="0" fontId="0" fillId="0" borderId="9" xfId="0" applyBorder="1"/>
    <xf numFmtId="0" fontId="0" fillId="0" borderId="8" xfId="0" quotePrefix="1" applyBorder="1" applyAlignment="1">
      <alignment horizontal="right"/>
    </xf>
    <xf numFmtId="0" fontId="0" fillId="0" borderId="8" xfId="0" applyBorder="1" applyAlignment="1">
      <alignment horizontal="center"/>
    </xf>
    <xf numFmtId="0" fontId="0" fillId="0" borderId="10" xfId="0" applyBorder="1"/>
    <xf numFmtId="0" fontId="0" fillId="0" borderId="1" xfId="0" applyBorder="1" applyAlignment="1">
      <alignment horizontal="center"/>
    </xf>
    <xf numFmtId="0" fontId="0" fillId="0" borderId="1" xfId="0" applyBorder="1"/>
    <xf numFmtId="0" fontId="0" fillId="0" borderId="11" xfId="0" applyBorder="1"/>
    <xf numFmtId="0" fontId="6" fillId="0" borderId="0" xfId="0" applyFont="1" applyAlignment="1">
      <alignment horizontal="center"/>
    </xf>
    <xf numFmtId="0" fontId="6" fillId="0" borderId="0" xfId="0" applyFont="1"/>
    <xf numFmtId="0" fontId="3" fillId="0" borderId="0" xfId="0" applyFont="1"/>
    <xf numFmtId="0" fontId="6" fillId="0" borderId="0" xfId="0" quotePrefix="1" applyFont="1" applyAlignment="1">
      <alignment horizontal="center"/>
    </xf>
    <xf numFmtId="14" fontId="3" fillId="0" borderId="0" xfId="0" applyNumberFormat="1" applyFont="1" applyAlignment="1">
      <alignment horizontal="left"/>
    </xf>
    <xf numFmtId="0" fontId="7" fillId="0" borderId="0" xfId="0" applyFont="1" applyAlignment="1">
      <alignment horizontal="center"/>
    </xf>
    <xf numFmtId="0" fontId="3" fillId="0" borderId="0" xfId="0" applyFont="1" applyAlignment="1">
      <alignment horizontal="center"/>
    </xf>
    <xf numFmtId="0" fontId="3" fillId="0" borderId="0" xfId="0" quotePrefix="1" applyFont="1"/>
    <xf numFmtId="0" fontId="10" fillId="0" borderId="0" xfId="0" applyFont="1" applyAlignment="1">
      <alignment vertical="center"/>
    </xf>
    <xf numFmtId="0" fontId="12" fillId="0" borderId="3" xfId="0" quotePrefix="1" applyFont="1" applyBorder="1" applyAlignment="1">
      <alignment horizontal="right"/>
    </xf>
    <xf numFmtId="0" fontId="8" fillId="0" borderId="0" xfId="0" applyFont="1"/>
    <xf numFmtId="0" fontId="14" fillId="0" borderId="0" xfId="0" applyFont="1" applyAlignment="1">
      <alignment horizontal="center"/>
    </xf>
    <xf numFmtId="0" fontId="8" fillId="0" borderId="0" xfId="0" applyFont="1" applyAlignment="1">
      <alignment horizontal="right"/>
    </xf>
    <xf numFmtId="0" fontId="16" fillId="0" borderId="0" xfId="0" applyFont="1"/>
    <xf numFmtId="0" fontId="17" fillId="0" borderId="0" xfId="0" applyFont="1"/>
    <xf numFmtId="0" fontId="13" fillId="0" borderId="0" xfId="0" applyFont="1" applyAlignment="1">
      <alignment horizontal="center"/>
    </xf>
    <xf numFmtId="0" fontId="18" fillId="0" borderId="3" xfId="0" quotePrefix="1" applyFont="1" applyBorder="1" applyAlignment="1">
      <alignment horizontal="right"/>
    </xf>
    <xf numFmtId="0" fontId="26" fillId="0" borderId="3" xfId="0" applyFont="1" applyBorder="1" applyAlignment="1">
      <alignment horizontal="left"/>
    </xf>
    <xf numFmtId="0" fontId="26" fillId="0" borderId="1" xfId="0" applyFont="1" applyBorder="1" applyAlignment="1">
      <alignment horizontal="center"/>
    </xf>
    <xf numFmtId="0" fontId="26" fillId="0" borderId="0" xfId="0" applyFont="1" applyAlignment="1">
      <alignment horizontal="center"/>
    </xf>
    <xf numFmtId="0" fontId="27" fillId="0" borderId="0" xfId="0" applyFont="1"/>
    <xf numFmtId="0" fontId="0" fillId="3" borderId="0" xfId="0" applyFill="1"/>
    <xf numFmtId="0" fontId="1" fillId="3" borderId="0" xfId="0" applyFont="1" applyFill="1"/>
    <xf numFmtId="0" fontId="1" fillId="3" borderId="0" xfId="0" applyFont="1" applyFill="1" applyAlignment="1">
      <alignment horizontal="center"/>
    </xf>
    <xf numFmtId="0" fontId="29" fillId="0" borderId="0" xfId="0" applyFont="1"/>
    <xf numFmtId="0" fontId="0" fillId="0" borderId="0" xfId="0" quotePrefix="1"/>
    <xf numFmtId="0" fontId="15" fillId="0" borderId="0" xfId="0" quotePrefix="1" applyFont="1"/>
    <xf numFmtId="0" fontId="9" fillId="0" borderId="0" xfId="0" applyFont="1"/>
    <xf numFmtId="0" fontId="28" fillId="0" borderId="0" xfId="0" applyFont="1"/>
    <xf numFmtId="0" fontId="30" fillId="0" borderId="0" xfId="0" applyFont="1"/>
    <xf numFmtId="0" fontId="31" fillId="0" borderId="0" xfId="0" applyFont="1"/>
    <xf numFmtId="0" fontId="32" fillId="0" borderId="0" xfId="0" applyFont="1" applyAlignment="1">
      <alignment vertical="center"/>
    </xf>
    <xf numFmtId="0" fontId="3" fillId="0" borderId="5" xfId="0" applyFont="1" applyBorder="1"/>
    <xf numFmtId="0" fontId="36" fillId="8" borderId="29" xfId="0" applyFont="1" applyFill="1" applyBorder="1" applyAlignment="1">
      <alignment horizontal="center" vertical="center"/>
    </xf>
    <xf numFmtId="0" fontId="35" fillId="0" borderId="0" xfId="0" applyFont="1" applyAlignment="1">
      <alignment vertical="center"/>
    </xf>
    <xf numFmtId="0" fontId="38" fillId="8" borderId="29" xfId="0" applyFont="1" applyFill="1" applyBorder="1" applyAlignment="1">
      <alignment horizontal="center" vertical="center"/>
    </xf>
    <xf numFmtId="0" fontId="20" fillId="0" borderId="0" xfId="0" applyFont="1"/>
    <xf numFmtId="0" fontId="23" fillId="0" borderId="3" xfId="0" applyFont="1" applyBorder="1" applyAlignment="1">
      <alignment horizontal="center"/>
    </xf>
    <xf numFmtId="0" fontId="23" fillId="0" borderId="0" xfId="0" applyFont="1" applyAlignment="1">
      <alignment horizontal="center"/>
    </xf>
    <xf numFmtId="0" fontId="39" fillId="2" borderId="0" xfId="0" applyFont="1" applyFill="1" applyAlignment="1">
      <alignment horizontal="center"/>
    </xf>
    <xf numFmtId="0" fontId="23" fillId="0" borderId="1" xfId="0" applyFont="1" applyBorder="1" applyAlignment="1">
      <alignment horizontal="center"/>
    </xf>
    <xf numFmtId="0" fontId="23" fillId="0" borderId="2" xfId="0" applyFont="1" applyBorder="1" applyAlignment="1">
      <alignment horizontal="center"/>
    </xf>
    <xf numFmtId="0" fontId="19" fillId="0" borderId="0" xfId="0" applyFont="1"/>
    <xf numFmtId="0" fontId="33" fillId="3" borderId="2" xfId="0" quotePrefix="1" applyFont="1" applyFill="1" applyBorder="1" applyAlignment="1">
      <alignment horizontal="center"/>
    </xf>
    <xf numFmtId="0" fontId="33" fillId="3" borderId="2" xfId="0" applyFont="1" applyFill="1" applyBorder="1" applyAlignment="1">
      <alignment horizontal="center"/>
    </xf>
    <xf numFmtId="0" fontId="33" fillId="5" borderId="2" xfId="0" applyFont="1" applyFill="1" applyBorder="1" applyAlignment="1">
      <alignment horizontal="center"/>
    </xf>
    <xf numFmtId="0" fontId="33" fillId="0" borderId="0" xfId="0" applyFont="1"/>
    <xf numFmtId="0" fontId="17" fillId="0" borderId="0" xfId="0" applyFont="1" applyAlignment="1">
      <alignment horizontal="center"/>
    </xf>
    <xf numFmtId="0" fontId="31" fillId="0" borderId="0" xfId="0" quotePrefix="1" applyFont="1" applyAlignment="1">
      <alignment horizontal="center"/>
    </xf>
    <xf numFmtId="0" fontId="42" fillId="3" borderId="2" xfId="0" applyFont="1" applyFill="1" applyBorder="1" applyAlignment="1">
      <alignment horizontal="center"/>
    </xf>
    <xf numFmtId="0" fontId="43" fillId="0" borderId="0" xfId="0" applyFont="1"/>
    <xf numFmtId="0" fontId="44" fillId="0" borderId="25" xfId="0" applyFont="1" applyBorder="1" applyAlignment="1">
      <alignment horizontal="center"/>
    </xf>
    <xf numFmtId="0" fontId="44" fillId="0" borderId="23" xfId="0" applyFont="1" applyBorder="1" applyAlignment="1">
      <alignment horizontal="center"/>
    </xf>
    <xf numFmtId="0" fontId="46" fillId="0" borderId="15" xfId="0" applyFont="1" applyBorder="1" applyAlignment="1">
      <alignment horizontal="center"/>
    </xf>
    <xf numFmtId="0" fontId="46" fillId="0" borderId="2" xfId="0" applyFont="1" applyBorder="1" applyAlignment="1">
      <alignment horizontal="center"/>
    </xf>
    <xf numFmtId="0" fontId="47" fillId="5" borderId="20" xfId="0" applyFont="1" applyFill="1" applyBorder="1" applyAlignment="1">
      <alignment horizontal="center" vertical="center"/>
    </xf>
    <xf numFmtId="0" fontId="47" fillId="5" borderId="25" xfId="0" applyFont="1" applyFill="1" applyBorder="1" applyAlignment="1">
      <alignment horizontal="center" vertical="center"/>
    </xf>
    <xf numFmtId="0" fontId="47" fillId="5" borderId="23" xfId="0" applyFont="1" applyFill="1" applyBorder="1" applyAlignment="1">
      <alignment horizontal="center" vertical="center"/>
    </xf>
    <xf numFmtId="0" fontId="46" fillId="0" borderId="3" xfId="0" applyFont="1" applyBorder="1" applyAlignment="1">
      <alignment horizontal="center"/>
    </xf>
    <xf numFmtId="14" fontId="48" fillId="0" borderId="0" xfId="0" applyNumberFormat="1" applyFont="1"/>
    <xf numFmtId="14" fontId="48" fillId="0" borderId="0" xfId="0" applyNumberFormat="1" applyFont="1" applyAlignment="1">
      <alignment horizontal="right"/>
    </xf>
    <xf numFmtId="0" fontId="0" fillId="0" borderId="2" xfId="0" applyBorder="1"/>
    <xf numFmtId="0" fontId="37" fillId="0" borderId="2" xfId="0" applyFont="1" applyBorder="1" applyAlignment="1">
      <alignment horizontal="center" vertical="center"/>
    </xf>
    <xf numFmtId="0" fontId="49" fillId="0" borderId="2" xfId="0" applyFont="1" applyBorder="1" applyAlignment="1">
      <alignment horizontal="left" vertical="center"/>
    </xf>
    <xf numFmtId="0" fontId="37" fillId="0" borderId="2" xfId="0" applyFont="1" applyBorder="1" applyAlignment="1">
      <alignment horizontal="left" vertical="center"/>
    </xf>
    <xf numFmtId="0" fontId="31" fillId="3" borderId="23" xfId="0" quotePrefix="1" applyFont="1" applyFill="1" applyBorder="1" applyAlignment="1">
      <alignment horizontal="center"/>
    </xf>
    <xf numFmtId="0" fontId="31" fillId="3" borderId="24" xfId="0" quotePrefix="1" applyFont="1" applyFill="1" applyBorder="1" applyAlignment="1">
      <alignment horizontal="center"/>
    </xf>
    <xf numFmtId="0" fontId="31" fillId="3" borderId="19" xfId="0" quotePrefix="1" applyFont="1" applyFill="1" applyBorder="1" applyAlignment="1">
      <alignment horizontal="center"/>
    </xf>
    <xf numFmtId="0" fontId="46" fillId="0" borderId="34" xfId="0" applyFont="1" applyBorder="1" applyAlignment="1">
      <alignment horizontal="center"/>
    </xf>
    <xf numFmtId="0" fontId="0" fillId="9" borderId="43" xfId="0" applyFill="1" applyBorder="1" applyAlignment="1">
      <alignment horizontal="center"/>
    </xf>
    <xf numFmtId="0" fontId="0" fillId="0" borderId="15" xfId="0" applyBorder="1"/>
    <xf numFmtId="0" fontId="0" fillId="3" borderId="44" xfId="0" applyFill="1" applyBorder="1" applyAlignment="1">
      <alignment horizontal="center"/>
    </xf>
    <xf numFmtId="0" fontId="0" fillId="3" borderId="45" xfId="0" applyFill="1" applyBorder="1" applyAlignment="1">
      <alignment horizontal="center"/>
    </xf>
    <xf numFmtId="0" fontId="0" fillId="3" borderId="42" xfId="0" applyFill="1" applyBorder="1" applyAlignment="1">
      <alignment horizontal="center"/>
    </xf>
    <xf numFmtId="0" fontId="0" fillId="0" borderId="51" xfId="0" applyBorder="1"/>
    <xf numFmtId="0" fontId="0" fillId="0" borderId="14" xfId="0" applyBorder="1"/>
    <xf numFmtId="0" fontId="0" fillId="9" borderId="52" xfId="0" applyFill="1" applyBorder="1" applyAlignment="1">
      <alignment horizontal="center"/>
    </xf>
    <xf numFmtId="0" fontId="0" fillId="3" borderId="53" xfId="0" applyFill="1" applyBorder="1" applyAlignment="1">
      <alignment horizontal="center"/>
    </xf>
    <xf numFmtId="0" fontId="0" fillId="3" borderId="54" xfId="0" applyFill="1" applyBorder="1" applyAlignment="1">
      <alignment horizontal="center"/>
    </xf>
    <xf numFmtId="0" fontId="0" fillId="3" borderId="55" xfId="0" applyFill="1" applyBorder="1" applyAlignment="1">
      <alignment horizontal="center"/>
    </xf>
    <xf numFmtId="0" fontId="0" fillId="0" borderId="56" xfId="0" applyBorder="1"/>
    <xf numFmtId="0" fontId="0" fillId="0" borderId="46" xfId="0" applyBorder="1"/>
    <xf numFmtId="0" fontId="0" fillId="0" borderId="57" xfId="0" applyBorder="1"/>
    <xf numFmtId="0" fontId="0" fillId="0" borderId="58" xfId="0" applyBorder="1"/>
    <xf numFmtId="0" fontId="0" fillId="0" borderId="47" xfId="0" applyBorder="1"/>
    <xf numFmtId="0" fontId="52" fillId="3" borderId="50" xfId="0" applyFont="1" applyFill="1" applyBorder="1" applyAlignment="1">
      <alignment horizontal="center"/>
    </xf>
    <xf numFmtId="0" fontId="52" fillId="3" borderId="48" xfId="0" applyFont="1" applyFill="1" applyBorder="1" applyAlignment="1">
      <alignment horizontal="center"/>
    </xf>
    <xf numFmtId="0" fontId="52" fillId="3" borderId="49" xfId="0" applyFont="1" applyFill="1" applyBorder="1" applyAlignment="1">
      <alignment horizontal="center"/>
    </xf>
    <xf numFmtId="0" fontId="37" fillId="0" borderId="29" xfId="0" applyFont="1" applyBorder="1" applyAlignment="1">
      <alignment horizontal="center" vertical="center"/>
    </xf>
    <xf numFmtId="164" fontId="37" fillId="0" borderId="29" xfId="0" applyNumberFormat="1" applyFont="1" applyBorder="1" applyAlignment="1">
      <alignment horizontal="center" vertical="center"/>
    </xf>
    <xf numFmtId="0" fontId="37" fillId="0" borderId="29" xfId="0" applyFont="1" applyBorder="1" applyAlignment="1">
      <alignment horizontal="left" vertical="center"/>
    </xf>
    <xf numFmtId="0" fontId="21" fillId="3" borderId="1" xfId="0" applyFont="1" applyFill="1" applyBorder="1"/>
    <xf numFmtId="0" fontId="21" fillId="3" borderId="40" xfId="0" applyFont="1" applyFill="1" applyBorder="1"/>
    <xf numFmtId="0" fontId="46" fillId="3" borderId="1" xfId="0" applyFont="1" applyFill="1" applyBorder="1"/>
    <xf numFmtId="0" fontId="53" fillId="0" borderId="0" xfId="0" applyFont="1" applyAlignment="1">
      <alignment horizontal="center"/>
    </xf>
    <xf numFmtId="0" fontId="54" fillId="0" borderId="2" xfId="0" applyFont="1" applyBorder="1" applyAlignment="1">
      <alignment horizontal="center"/>
    </xf>
    <xf numFmtId="0" fontId="55" fillId="0" borderId="0" xfId="0" applyFont="1"/>
    <xf numFmtId="0" fontId="14" fillId="0" borderId="2" xfId="0" applyFont="1" applyBorder="1" applyAlignment="1">
      <alignment horizontal="center"/>
    </xf>
    <xf numFmtId="0" fontId="56" fillId="0" borderId="0" xfId="0" applyFont="1"/>
    <xf numFmtId="0" fontId="14" fillId="3" borderId="2" xfId="0" applyFont="1" applyFill="1" applyBorder="1" applyAlignment="1">
      <alignment horizontal="center"/>
    </xf>
    <xf numFmtId="0" fontId="51" fillId="0" borderId="0" xfId="0" applyFont="1"/>
    <xf numFmtId="0" fontId="6" fillId="3" borderId="67" xfId="0" applyFont="1" applyFill="1" applyBorder="1"/>
    <xf numFmtId="0" fontId="6" fillId="3" borderId="68" xfId="0" applyFont="1" applyFill="1" applyBorder="1"/>
    <xf numFmtId="0" fontId="6" fillId="3" borderId="69" xfId="0" applyFont="1" applyFill="1" applyBorder="1" applyAlignment="1">
      <alignment horizontal="center"/>
    </xf>
    <xf numFmtId="0" fontId="3" fillId="3" borderId="15" xfId="0" applyFont="1" applyFill="1" applyBorder="1" applyAlignment="1">
      <alignment horizontal="center"/>
    </xf>
    <xf numFmtId="0" fontId="3" fillId="3" borderId="66" xfId="0" applyFont="1" applyFill="1" applyBorder="1" applyAlignment="1">
      <alignment horizontal="center"/>
    </xf>
    <xf numFmtId="0" fontId="3" fillId="3" borderId="2" xfId="0" applyFont="1" applyFill="1" applyBorder="1" applyAlignment="1">
      <alignment horizontal="center"/>
    </xf>
    <xf numFmtId="0" fontId="41" fillId="0" borderId="0" xfId="0" applyFont="1" applyAlignment="1">
      <alignment horizontal="center"/>
    </xf>
    <xf numFmtId="0" fontId="58" fillId="0" borderId="0" xfId="0" applyFont="1" applyAlignment="1">
      <alignment vertical="center"/>
    </xf>
    <xf numFmtId="0" fontId="48" fillId="0" borderId="0" xfId="0" applyFont="1" applyAlignment="1">
      <alignment horizontal="left"/>
    </xf>
    <xf numFmtId="0" fontId="1" fillId="0" borderId="0" xfId="0" applyFont="1" applyAlignment="1">
      <alignment horizontal="center"/>
    </xf>
    <xf numFmtId="0" fontId="48" fillId="0" borderId="0" xfId="0" applyFont="1" applyAlignment="1">
      <alignment horizontal="center"/>
    </xf>
    <xf numFmtId="0" fontId="16" fillId="0" borderId="0" xfId="0" applyFont="1" applyAlignment="1">
      <alignment horizontal="center"/>
    </xf>
    <xf numFmtId="0" fontId="19" fillId="0" borderId="0" xfId="0" applyFont="1" applyAlignment="1">
      <alignment horizontal="center"/>
    </xf>
    <xf numFmtId="0" fontId="50" fillId="0" borderId="0" xfId="0" applyFont="1" applyAlignment="1">
      <alignment horizontal="center"/>
    </xf>
    <xf numFmtId="0" fontId="5" fillId="0" borderId="0" xfId="0" applyFont="1" applyAlignment="1">
      <alignment horizontal="center"/>
    </xf>
    <xf numFmtId="0" fontId="24" fillId="0" borderId="0" xfId="0" applyFont="1" applyAlignment="1">
      <alignment horizontal="left" vertical="center"/>
    </xf>
    <xf numFmtId="0" fontId="48" fillId="0" borderId="1" xfId="0" applyFont="1" applyBorder="1" applyAlignment="1">
      <alignment horizontal="left"/>
    </xf>
    <xf numFmtId="0" fontId="3" fillId="0" borderId="1" xfId="0" applyFont="1" applyBorder="1"/>
    <xf numFmtId="0" fontId="48" fillId="0" borderId="13" xfId="0" applyFont="1" applyBorder="1" applyAlignment="1">
      <alignment horizontal="left"/>
    </xf>
    <xf numFmtId="0" fontId="0" fillId="0" borderId="13" xfId="0" applyBorder="1"/>
    <xf numFmtId="0" fontId="3" fillId="0" borderId="13" xfId="0" applyFont="1" applyBorder="1"/>
    <xf numFmtId="0" fontId="59" fillId="0" borderId="0" xfId="0" applyFont="1" applyAlignment="1">
      <alignment horizontal="right"/>
    </xf>
    <xf numFmtId="0" fontId="60" fillId="0" borderId="0" xfId="0" applyFont="1"/>
    <xf numFmtId="0" fontId="1" fillId="0" borderId="0" xfId="0" applyFont="1" applyAlignment="1">
      <alignment horizontal="center"/>
    </xf>
    <xf numFmtId="0" fontId="22" fillId="3" borderId="27" xfId="0" applyFont="1" applyFill="1" applyBorder="1" applyAlignment="1">
      <alignment horizontal="center" vertical="top"/>
    </xf>
    <xf numFmtId="0" fontId="22" fillId="3" borderId="26" xfId="0" applyFont="1" applyFill="1" applyBorder="1" applyAlignment="1">
      <alignment horizontal="center" vertical="top"/>
    </xf>
    <xf numFmtId="0" fontId="6" fillId="6" borderId="33" xfId="0" applyFont="1" applyFill="1" applyBorder="1" applyAlignment="1">
      <alignment horizontal="center"/>
    </xf>
    <xf numFmtId="0" fontId="6" fillId="6" borderId="34" xfId="0" applyFont="1" applyFill="1" applyBorder="1" applyAlignment="1">
      <alignment horizontal="center"/>
    </xf>
    <xf numFmtId="0" fontId="6" fillId="6" borderId="35" xfId="0" applyFont="1" applyFill="1" applyBorder="1" applyAlignment="1">
      <alignment horizontal="center"/>
    </xf>
    <xf numFmtId="0" fontId="17" fillId="0" borderId="24" xfId="0" applyFont="1" applyBorder="1" applyAlignment="1">
      <alignment horizontal="center"/>
    </xf>
    <xf numFmtId="0" fontId="17" fillId="0" borderId="17" xfId="0" applyFont="1" applyBorder="1" applyAlignment="1">
      <alignment horizontal="center"/>
    </xf>
    <xf numFmtId="0" fontId="24" fillId="5" borderId="32" xfId="0" applyFont="1" applyFill="1" applyBorder="1" applyAlignment="1">
      <alignment horizontal="left" vertical="center"/>
    </xf>
    <xf numFmtId="0" fontId="24" fillId="5" borderId="22" xfId="0" applyFont="1" applyFill="1" applyBorder="1" applyAlignment="1">
      <alignment horizontal="left" vertical="center"/>
    </xf>
    <xf numFmtId="0" fontId="24" fillId="5" borderId="0" xfId="0" applyFont="1" applyFill="1" applyAlignment="1">
      <alignment horizontal="left" vertical="center"/>
    </xf>
    <xf numFmtId="0" fontId="24" fillId="5" borderId="16" xfId="0" applyFont="1" applyFill="1" applyBorder="1" applyAlignment="1">
      <alignment horizontal="left" vertical="center"/>
    </xf>
    <xf numFmtId="0" fontId="25" fillId="6" borderId="62" xfId="0" applyFont="1" applyFill="1" applyBorder="1" applyAlignment="1">
      <alignment horizontal="center"/>
    </xf>
    <xf numFmtId="0" fontId="25" fillId="6" borderId="61" xfId="0" applyFont="1" applyFill="1" applyBorder="1" applyAlignment="1">
      <alignment horizontal="center"/>
    </xf>
    <xf numFmtId="0" fontId="25" fillId="6" borderId="63" xfId="0" applyFont="1" applyFill="1" applyBorder="1" applyAlignment="1">
      <alignment horizontal="center"/>
    </xf>
    <xf numFmtId="0" fontId="45" fillId="0" borderId="25" xfId="0" applyFont="1" applyBorder="1" applyAlignment="1">
      <alignment horizontal="left"/>
    </xf>
    <xf numFmtId="0" fontId="45" fillId="0" borderId="0" xfId="0" applyFont="1" applyAlignment="1">
      <alignment horizontal="left"/>
    </xf>
    <xf numFmtId="0" fontId="45" fillId="0" borderId="16" xfId="0" applyFont="1" applyBorder="1" applyAlignment="1">
      <alignment horizontal="left"/>
    </xf>
    <xf numFmtId="0" fontId="6" fillId="3" borderId="33" xfId="0" applyFont="1" applyFill="1" applyBorder="1" applyAlignment="1">
      <alignment horizontal="center"/>
    </xf>
    <xf numFmtId="0" fontId="6" fillId="3" borderId="34" xfId="0" applyFont="1" applyFill="1" applyBorder="1" applyAlignment="1">
      <alignment horizontal="center"/>
    </xf>
    <xf numFmtId="0" fontId="6" fillId="3" borderId="35" xfId="0" applyFont="1" applyFill="1" applyBorder="1" applyAlignment="1">
      <alignment horizontal="center"/>
    </xf>
    <xf numFmtId="0" fontId="11" fillId="5" borderId="23" xfId="0" applyFont="1" applyFill="1" applyBorder="1" applyAlignment="1">
      <alignment horizontal="center" vertical="center"/>
    </xf>
    <xf numFmtId="0" fontId="11" fillId="5" borderId="24" xfId="0" applyFont="1" applyFill="1" applyBorder="1" applyAlignment="1">
      <alignment horizontal="center" vertical="center"/>
    </xf>
    <xf numFmtId="0" fontId="11" fillId="5" borderId="17" xfId="0" applyFont="1" applyFill="1" applyBorder="1" applyAlignment="1">
      <alignment horizontal="center" vertical="center"/>
    </xf>
    <xf numFmtId="0" fontId="18" fillId="0" borderId="0" xfId="0" applyFont="1" applyAlignment="1">
      <alignment horizontal="left"/>
    </xf>
    <xf numFmtId="0" fontId="18" fillId="0" borderId="16" xfId="0" applyFont="1" applyBorder="1" applyAlignment="1">
      <alignment horizontal="left"/>
    </xf>
    <xf numFmtId="0" fontId="18" fillId="0" borderId="24" xfId="0" applyFont="1" applyBorder="1" applyAlignment="1">
      <alignment horizontal="left"/>
    </xf>
    <xf numFmtId="0" fontId="18" fillId="0" borderId="17" xfId="0" applyFont="1" applyBorder="1" applyAlignment="1">
      <alignment horizontal="left"/>
    </xf>
    <xf numFmtId="0" fontId="22" fillId="3" borderId="12" xfId="0" applyFont="1" applyFill="1" applyBorder="1" applyAlignment="1">
      <alignment horizontal="center" vertical="top"/>
    </xf>
    <xf numFmtId="0" fontId="22" fillId="3" borderId="14" xfId="0" applyFont="1" applyFill="1" applyBorder="1" applyAlignment="1">
      <alignment horizontal="center" vertical="top"/>
    </xf>
    <xf numFmtId="0" fontId="33" fillId="0" borderId="1" xfId="0" applyFont="1" applyBorder="1" applyAlignment="1">
      <alignment horizontal="center"/>
    </xf>
    <xf numFmtId="0" fontId="23" fillId="0" borderId="24" xfId="0" applyFont="1" applyBorder="1" applyAlignment="1">
      <alignment horizontal="center"/>
    </xf>
    <xf numFmtId="0" fontId="25" fillId="0" borderId="12" xfId="0" applyFont="1" applyBorder="1" applyAlignment="1">
      <alignment horizontal="right"/>
    </xf>
    <xf numFmtId="0" fontId="25" fillId="0" borderId="13" xfId="0" applyFont="1" applyBorder="1" applyAlignment="1">
      <alignment horizontal="right"/>
    </xf>
    <xf numFmtId="0" fontId="25" fillId="0" borderId="14" xfId="0" applyFont="1" applyBorder="1" applyAlignment="1">
      <alignment horizontal="right"/>
    </xf>
    <xf numFmtId="0" fontId="6" fillId="0" borderId="12" xfId="0" applyFont="1" applyBorder="1" applyAlignment="1">
      <alignment horizontal="right"/>
    </xf>
    <xf numFmtId="0" fontId="6" fillId="0" borderId="13" xfId="0" applyFont="1" applyBorder="1" applyAlignment="1">
      <alignment horizontal="right"/>
    </xf>
    <xf numFmtId="0" fontId="6" fillId="0" borderId="14" xfId="0" applyFont="1" applyBorder="1" applyAlignment="1">
      <alignment horizontal="right"/>
    </xf>
    <xf numFmtId="0" fontId="6" fillId="0" borderId="2" xfId="0" applyFont="1" applyBorder="1" applyAlignment="1">
      <alignment horizontal="right"/>
    </xf>
    <xf numFmtId="0" fontId="24" fillId="3" borderId="2" xfId="0" applyFont="1" applyFill="1" applyBorder="1" applyAlignment="1">
      <alignment horizontal="left"/>
    </xf>
    <xf numFmtId="0" fontId="24" fillId="3" borderId="12" xfId="0" applyFont="1" applyFill="1" applyBorder="1" applyAlignment="1">
      <alignment horizontal="left"/>
    </xf>
    <xf numFmtId="0" fontId="24" fillId="3" borderId="13" xfId="0" applyFont="1" applyFill="1" applyBorder="1" applyAlignment="1">
      <alignment horizontal="left"/>
    </xf>
    <xf numFmtId="0" fontId="24" fillId="3" borderId="14" xfId="0" applyFont="1" applyFill="1" applyBorder="1" applyAlignment="1">
      <alignment horizontal="left"/>
    </xf>
    <xf numFmtId="0" fontId="31" fillId="3" borderId="33" xfId="0" applyFont="1" applyFill="1" applyBorder="1" applyAlignment="1">
      <alignment horizontal="center"/>
    </xf>
    <xf numFmtId="0" fontId="31" fillId="3" borderId="34" xfId="0" applyFont="1" applyFill="1" applyBorder="1" applyAlignment="1">
      <alignment horizontal="center"/>
    </xf>
    <xf numFmtId="0" fontId="31" fillId="3" borderId="42" xfId="0" applyFont="1" applyFill="1" applyBorder="1" applyAlignment="1">
      <alignment horizontal="center"/>
    </xf>
    <xf numFmtId="0" fontId="31" fillId="3" borderId="25" xfId="0" quotePrefix="1" applyFont="1" applyFill="1" applyBorder="1" applyAlignment="1">
      <alignment horizontal="center"/>
    </xf>
    <xf numFmtId="0" fontId="31" fillId="3" borderId="0" xfId="0" quotePrefix="1" applyFont="1" applyFill="1" applyAlignment="1">
      <alignment horizontal="center"/>
    </xf>
    <xf numFmtId="0" fontId="31" fillId="3" borderId="18" xfId="0" quotePrefix="1" applyFont="1" applyFill="1" applyBorder="1" applyAlignment="1">
      <alignment horizontal="center"/>
    </xf>
    <xf numFmtId="0" fontId="17" fillId="0" borderId="0" xfId="0" applyFont="1" applyAlignment="1">
      <alignment horizontal="center"/>
    </xf>
    <xf numFmtId="0" fontId="17" fillId="0" borderId="16" xfId="0" applyFont="1" applyBorder="1" applyAlignment="1">
      <alignment horizontal="center"/>
    </xf>
    <xf numFmtId="0" fontId="16" fillId="0" borderId="34" xfId="0" applyFont="1" applyBorder="1" applyAlignment="1">
      <alignment horizontal="center"/>
    </xf>
    <xf numFmtId="0" fontId="16" fillId="0" borderId="35" xfId="0" applyFont="1" applyBorder="1" applyAlignment="1">
      <alignment horizontal="center"/>
    </xf>
    <xf numFmtId="0" fontId="24" fillId="5" borderId="24" xfId="0" applyFont="1" applyFill="1" applyBorder="1" applyAlignment="1">
      <alignment horizontal="left" vertical="center"/>
    </xf>
    <xf numFmtId="0" fontId="24" fillId="5" borderId="17" xfId="0" applyFont="1" applyFill="1" applyBorder="1" applyAlignment="1">
      <alignment horizontal="left" vertical="center"/>
    </xf>
    <xf numFmtId="0" fontId="1" fillId="0" borderId="1" xfId="0" applyFont="1" applyBorder="1" applyAlignment="1">
      <alignment horizontal="center"/>
    </xf>
    <xf numFmtId="0" fontId="1" fillId="0" borderId="5" xfId="0" applyFont="1" applyBorder="1" applyAlignment="1">
      <alignment horizontal="center"/>
    </xf>
    <xf numFmtId="0" fontId="40" fillId="5" borderId="12" xfId="0" applyFont="1" applyFill="1" applyBorder="1" applyAlignment="1">
      <alignment horizontal="center"/>
    </xf>
    <xf numFmtId="0" fontId="40" fillId="5" borderId="13" xfId="0" applyFont="1" applyFill="1" applyBorder="1" applyAlignment="1">
      <alignment horizontal="center"/>
    </xf>
    <xf numFmtId="0" fontId="40" fillId="5" borderId="14" xfId="0" applyFont="1" applyFill="1" applyBorder="1" applyAlignment="1">
      <alignment horizontal="center"/>
    </xf>
    <xf numFmtId="0" fontId="6" fillId="4" borderId="12" xfId="0" applyFont="1" applyFill="1" applyBorder="1" applyAlignment="1">
      <alignment horizontal="center"/>
    </xf>
    <xf numFmtId="0" fontId="6" fillId="4" borderId="13" xfId="0" applyFont="1" applyFill="1" applyBorder="1" applyAlignment="1">
      <alignment horizontal="center"/>
    </xf>
    <xf numFmtId="0" fontId="6" fillId="4" borderId="14" xfId="0" applyFont="1" applyFill="1" applyBorder="1" applyAlignment="1">
      <alignment horizontal="center"/>
    </xf>
    <xf numFmtId="0" fontId="22" fillId="3" borderId="28" xfId="0" applyFont="1" applyFill="1" applyBorder="1" applyAlignment="1">
      <alignment horizontal="center" vertical="top"/>
    </xf>
    <xf numFmtId="0" fontId="41" fillId="5" borderId="72" xfId="0" applyFont="1" applyFill="1" applyBorder="1" applyAlignment="1">
      <alignment horizontal="center"/>
    </xf>
    <xf numFmtId="0" fontId="41" fillId="5" borderId="73" xfId="0" applyFont="1" applyFill="1" applyBorder="1" applyAlignment="1">
      <alignment horizontal="center"/>
    </xf>
    <xf numFmtId="0" fontId="41" fillId="5" borderId="71" xfId="0" applyFont="1" applyFill="1" applyBorder="1" applyAlignment="1">
      <alignment horizontal="center"/>
    </xf>
    <xf numFmtId="0" fontId="25" fillId="6" borderId="60" xfId="0" applyFont="1" applyFill="1" applyBorder="1" applyAlignment="1">
      <alignment horizontal="center"/>
    </xf>
    <xf numFmtId="0" fontId="41" fillId="5" borderId="70" xfId="0" applyFont="1" applyFill="1" applyBorder="1" applyAlignment="1">
      <alignment horizontal="center"/>
    </xf>
    <xf numFmtId="0" fontId="21" fillId="3" borderId="59" xfId="0" applyFont="1" applyFill="1" applyBorder="1" applyAlignment="1">
      <alignment horizontal="center"/>
    </xf>
    <xf numFmtId="0" fontId="21" fillId="3" borderId="14" xfId="0" applyFont="1" applyFill="1" applyBorder="1" applyAlignment="1">
      <alignment horizontal="center"/>
    </xf>
    <xf numFmtId="0" fontId="0" fillId="0" borderId="0" xfId="0" applyAlignment="1">
      <alignment horizontal="center"/>
    </xf>
    <xf numFmtId="0" fontId="5" fillId="3" borderId="0" xfId="0" applyFont="1" applyFill="1" applyAlignment="1">
      <alignment horizontal="center"/>
    </xf>
    <xf numFmtId="0" fontId="23" fillId="3" borderId="0" xfId="0" applyFont="1" applyFill="1" applyAlignment="1">
      <alignment horizontal="center"/>
    </xf>
    <xf numFmtId="0" fontId="25" fillId="3" borderId="23" xfId="0" applyFont="1" applyFill="1" applyBorder="1" applyAlignment="1">
      <alignment horizontal="center"/>
    </xf>
    <xf numFmtId="0" fontId="25" fillId="3" borderId="24" xfId="0" applyFont="1" applyFill="1" applyBorder="1" applyAlignment="1">
      <alignment horizontal="center"/>
    </xf>
    <xf numFmtId="0" fontId="25" fillId="3" borderId="19" xfId="0" applyFont="1" applyFill="1" applyBorder="1" applyAlignment="1">
      <alignment horizontal="center"/>
    </xf>
    <xf numFmtId="0" fontId="25" fillId="3" borderId="41" xfId="0" applyFont="1" applyFill="1" applyBorder="1" applyAlignment="1">
      <alignment horizontal="center"/>
    </xf>
    <xf numFmtId="0" fontId="25" fillId="3" borderId="2" xfId="0" applyFont="1" applyFill="1" applyBorder="1" applyAlignment="1">
      <alignment horizontal="center"/>
    </xf>
    <xf numFmtId="0" fontId="25" fillId="3" borderId="20" xfId="0" applyFont="1" applyFill="1" applyBorder="1" applyAlignment="1">
      <alignment horizontal="center"/>
    </xf>
    <xf numFmtId="0" fontId="25" fillId="3" borderId="32" xfId="0" applyFont="1" applyFill="1" applyBorder="1" applyAlignment="1">
      <alignment horizontal="center"/>
    </xf>
    <xf numFmtId="0" fontId="25" fillId="3" borderId="21" xfId="0" applyFont="1" applyFill="1" applyBorder="1" applyAlignment="1">
      <alignment horizontal="center"/>
    </xf>
    <xf numFmtId="0" fontId="19" fillId="0" borderId="39" xfId="0" applyFont="1" applyBorder="1" applyAlignment="1">
      <alignment horizontal="center"/>
    </xf>
    <xf numFmtId="0" fontId="19" fillId="0" borderId="34" xfId="0" applyFont="1" applyBorder="1" applyAlignment="1">
      <alignment horizontal="center"/>
    </xf>
    <xf numFmtId="0" fontId="19" fillId="0" borderId="35"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19" fillId="0" borderId="28" xfId="0" applyFont="1" applyBorder="1" applyAlignment="1">
      <alignment horizontal="center"/>
    </xf>
    <xf numFmtId="0" fontId="50" fillId="0" borderId="37" xfId="0" applyFont="1" applyBorder="1" applyAlignment="1">
      <alignment horizontal="center"/>
    </xf>
    <xf numFmtId="0" fontId="50" fillId="0" borderId="36" xfId="0" applyFont="1" applyBorder="1" applyAlignment="1">
      <alignment horizontal="center"/>
    </xf>
    <xf numFmtId="0" fontId="50" fillId="0" borderId="38" xfId="0" applyFont="1" applyBorder="1" applyAlignment="1">
      <alignment horizontal="center"/>
    </xf>
    <xf numFmtId="0" fontId="7" fillId="3" borderId="23" xfId="0" applyFont="1" applyFill="1" applyBorder="1" applyAlignment="1">
      <alignment horizontal="center"/>
    </xf>
    <xf numFmtId="0" fontId="7" fillId="3" borderId="19" xfId="0" applyFont="1" applyFill="1" applyBorder="1" applyAlignment="1">
      <alignment horizontal="center"/>
    </xf>
    <xf numFmtId="0" fontId="7" fillId="3" borderId="37" xfId="0" applyFont="1" applyFill="1" applyBorder="1" applyAlignment="1">
      <alignment horizontal="center"/>
    </xf>
    <xf numFmtId="0" fontId="7" fillId="3" borderId="56" xfId="0" applyFont="1" applyFill="1" applyBorder="1" applyAlignment="1">
      <alignment horizontal="center"/>
    </xf>
    <xf numFmtId="0" fontId="7" fillId="3" borderId="38" xfId="0" applyFont="1" applyFill="1" applyBorder="1" applyAlignment="1">
      <alignment horizontal="center"/>
    </xf>
    <xf numFmtId="0" fontId="48" fillId="0" borderId="0" xfId="0" applyFont="1" applyAlignment="1">
      <alignment horizontal="left"/>
    </xf>
    <xf numFmtId="0" fontId="3" fillId="3" borderId="2" xfId="0" applyFont="1" applyFill="1" applyBorder="1" applyAlignment="1">
      <alignment horizontal="left"/>
    </xf>
    <xf numFmtId="0" fontId="6" fillId="6" borderId="12" xfId="0" applyFont="1" applyFill="1" applyBorder="1" applyAlignment="1">
      <alignment horizontal="center"/>
    </xf>
    <xf numFmtId="0" fontId="6" fillId="6" borderId="13" xfId="0" applyFont="1" applyFill="1" applyBorder="1" applyAlignment="1">
      <alignment horizontal="center"/>
    </xf>
    <xf numFmtId="0" fontId="6" fillId="6" borderId="14" xfId="0" applyFont="1" applyFill="1" applyBorder="1" applyAlignment="1">
      <alignment horizontal="center"/>
    </xf>
    <xf numFmtId="0" fontId="42" fillId="6" borderId="12" xfId="0" applyFont="1" applyFill="1" applyBorder="1" applyAlignment="1">
      <alignment horizontal="center"/>
    </xf>
    <xf numFmtId="0" fontId="42" fillId="6" borderId="13" xfId="0" applyFont="1" applyFill="1" applyBorder="1" applyAlignment="1">
      <alignment horizontal="center"/>
    </xf>
    <xf numFmtId="0" fontId="42" fillId="6" borderId="14" xfId="0" applyFont="1" applyFill="1" applyBorder="1" applyAlignment="1">
      <alignment horizontal="center"/>
    </xf>
    <xf numFmtId="0" fontId="2" fillId="3" borderId="2" xfId="0" applyFont="1" applyFill="1" applyBorder="1" applyAlignment="1">
      <alignment horizontal="center"/>
    </xf>
    <xf numFmtId="0" fontId="2" fillId="0" borderId="2" xfId="0" applyFont="1" applyBorder="1" applyAlignment="1">
      <alignment horizontal="center"/>
    </xf>
    <xf numFmtId="0" fontId="3" fillId="0" borderId="2" xfId="0" applyFont="1" applyBorder="1" applyAlignment="1">
      <alignment horizontal="left"/>
    </xf>
    <xf numFmtId="0" fontId="34" fillId="7" borderId="0" xfId="0" applyFont="1" applyFill="1" applyAlignment="1">
      <alignment horizontal="center" vertical="center"/>
    </xf>
    <xf numFmtId="0" fontId="36" fillId="8" borderId="30" xfId="0" applyFont="1" applyFill="1" applyBorder="1" applyAlignment="1">
      <alignment horizontal="center" vertical="center"/>
    </xf>
    <xf numFmtId="0" fontId="36" fillId="8" borderId="31" xfId="0" applyFont="1" applyFill="1" applyBorder="1" applyAlignment="1">
      <alignment horizontal="center" vertical="center"/>
    </xf>
    <xf numFmtId="0" fontId="1" fillId="3" borderId="0" xfId="0" applyFont="1" applyFill="1" applyAlignment="1">
      <alignment horizontal="center"/>
    </xf>
    <xf numFmtId="0" fontId="6" fillId="3" borderId="0" xfId="0" applyFont="1" applyFill="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3" fillId="0" borderId="14" xfId="0" applyFont="1" applyBorder="1" applyAlignment="1">
      <alignment horizontal="left"/>
    </xf>
    <xf numFmtId="0" fontId="3" fillId="0" borderId="64" xfId="0" applyFont="1" applyBorder="1" applyAlignment="1">
      <alignment horizontal="left"/>
    </xf>
    <xf numFmtId="0" fontId="3" fillId="0" borderId="3" xfId="0" applyFont="1" applyBorder="1" applyAlignment="1">
      <alignment horizontal="left"/>
    </xf>
    <xf numFmtId="0" fontId="3" fillId="0" borderId="26" xfId="0" applyFont="1" applyBorder="1" applyAlignment="1">
      <alignment horizontal="left"/>
    </xf>
    <xf numFmtId="0" fontId="3" fillId="0" borderId="65" xfId="0" applyFont="1" applyBorder="1" applyAlignment="1">
      <alignment horizontal="left"/>
    </xf>
    <xf numFmtId="0" fontId="3" fillId="0" borderId="1" xfId="0" applyFont="1" applyBorder="1" applyAlignment="1">
      <alignment horizontal="left"/>
    </xf>
    <xf numFmtId="0" fontId="3" fillId="0" borderId="51" xfId="0" applyFont="1" applyBorder="1" applyAlignment="1">
      <alignment horizontal="left"/>
    </xf>
    <xf numFmtId="0" fontId="5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231865</xdr:colOff>
      <xdr:row>13</xdr:row>
      <xdr:rowOff>1</xdr:rowOff>
    </xdr:from>
    <xdr:to>
      <xdr:col>16</xdr:col>
      <xdr:colOff>231865</xdr:colOff>
      <xdr:row>15</xdr:row>
      <xdr:rowOff>260049</xdr:rowOff>
    </xdr:to>
    <xdr:cxnSp macro="">
      <xdr:nvCxnSpPr>
        <xdr:cNvPr id="19" name="Straight Connector 18">
          <a:extLst>
            <a:ext uri="{FF2B5EF4-FFF2-40B4-BE49-F238E27FC236}">
              <a16:creationId xmlns:a16="http://schemas.microsoft.com/office/drawing/2014/main" id="{300E08B6-ED6A-F205-CB30-B3AB07DAC1A2}"/>
            </a:ext>
          </a:extLst>
        </xdr:cNvPr>
        <xdr:cNvCxnSpPr/>
      </xdr:nvCxnSpPr>
      <xdr:spPr>
        <a:xfrm>
          <a:off x="7463245" y="3550921"/>
          <a:ext cx="0" cy="79344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208643</xdr:colOff>
      <xdr:row>5</xdr:row>
      <xdr:rowOff>6048</xdr:rowOff>
    </xdr:from>
    <xdr:to>
      <xdr:col>16</xdr:col>
      <xdr:colOff>208643</xdr:colOff>
      <xdr:row>9</xdr:row>
      <xdr:rowOff>249163</xdr:rowOff>
    </xdr:to>
    <xdr:cxnSp macro="">
      <xdr:nvCxnSpPr>
        <xdr:cNvPr id="20" name="Straight Connector 19">
          <a:extLst>
            <a:ext uri="{FF2B5EF4-FFF2-40B4-BE49-F238E27FC236}">
              <a16:creationId xmlns:a16="http://schemas.microsoft.com/office/drawing/2014/main" id="{E5FBE687-4A9C-46C4-B46C-E3FD04FCAC65}"/>
            </a:ext>
          </a:extLst>
        </xdr:cNvPr>
        <xdr:cNvCxnSpPr/>
      </xdr:nvCxnSpPr>
      <xdr:spPr>
        <a:xfrm>
          <a:off x="7440023" y="1423368"/>
          <a:ext cx="0" cy="130991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493396</xdr:colOff>
      <xdr:row>42</xdr:row>
      <xdr:rowOff>0</xdr:rowOff>
    </xdr:from>
    <xdr:to>
      <xdr:col>8</xdr:col>
      <xdr:colOff>248184</xdr:colOff>
      <xdr:row>50</xdr:row>
      <xdr:rowOff>57150</xdr:rowOff>
    </xdr:to>
    <xdr:pic>
      <xdr:nvPicPr>
        <xdr:cNvPr id="3" name="Picture 2">
          <a:extLst>
            <a:ext uri="{FF2B5EF4-FFF2-40B4-BE49-F238E27FC236}">
              <a16:creationId xmlns:a16="http://schemas.microsoft.com/office/drawing/2014/main" id="{8062DEBF-44C4-C379-7FB4-43F081B9C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03121" y="10258425"/>
          <a:ext cx="2389403" cy="2179320"/>
        </a:xfrm>
        <a:prstGeom prst="rect">
          <a:avLst/>
        </a:prstGeom>
      </xdr:spPr>
    </xdr:pic>
    <xdr:clientData/>
  </xdr:twoCellAnchor>
  <xdr:twoCellAnchor>
    <xdr:from>
      <xdr:col>13</xdr:col>
      <xdr:colOff>7620</xdr:colOff>
      <xdr:row>15</xdr:row>
      <xdr:rowOff>68580</xdr:rowOff>
    </xdr:from>
    <xdr:to>
      <xdr:col>13</xdr:col>
      <xdr:colOff>434340</xdr:colOff>
      <xdr:row>15</xdr:row>
      <xdr:rowOff>211437</xdr:rowOff>
    </xdr:to>
    <xdr:sp macro="" textlink="">
      <xdr:nvSpPr>
        <xdr:cNvPr id="2" name="Arrow: Left 1">
          <a:extLst>
            <a:ext uri="{FF2B5EF4-FFF2-40B4-BE49-F238E27FC236}">
              <a16:creationId xmlns:a16="http://schemas.microsoft.com/office/drawing/2014/main" id="{7A80200D-6C02-D5E8-7D5B-7C6840A7CAE1}"/>
            </a:ext>
          </a:extLst>
        </xdr:cNvPr>
        <xdr:cNvSpPr/>
      </xdr:nvSpPr>
      <xdr:spPr>
        <a:xfrm>
          <a:off x="5974080" y="4419600"/>
          <a:ext cx="426720" cy="142857"/>
        </a:xfrm>
        <a:prstGeom prst="leftArrow">
          <a:avLst>
            <a:gd name="adj1" fmla="val 0"/>
            <a:gd name="adj2" fmla="val 5000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22860</xdr:colOff>
      <xdr:row>15</xdr:row>
      <xdr:rowOff>76200</xdr:rowOff>
    </xdr:from>
    <xdr:to>
      <xdr:col>19</xdr:col>
      <xdr:colOff>449580</xdr:colOff>
      <xdr:row>15</xdr:row>
      <xdr:rowOff>219057</xdr:rowOff>
    </xdr:to>
    <xdr:sp macro="" textlink="">
      <xdr:nvSpPr>
        <xdr:cNvPr id="4" name="Arrow: Left 3">
          <a:extLst>
            <a:ext uri="{FF2B5EF4-FFF2-40B4-BE49-F238E27FC236}">
              <a16:creationId xmlns:a16="http://schemas.microsoft.com/office/drawing/2014/main" id="{4DA6C416-26FA-4A22-8606-DF113A383B30}"/>
            </a:ext>
          </a:extLst>
        </xdr:cNvPr>
        <xdr:cNvSpPr/>
      </xdr:nvSpPr>
      <xdr:spPr>
        <a:xfrm rot="10800000">
          <a:off x="8732520" y="4427220"/>
          <a:ext cx="426720" cy="142857"/>
        </a:xfrm>
        <a:prstGeom prst="leftArrow">
          <a:avLst>
            <a:gd name="adj1" fmla="val 0"/>
            <a:gd name="adj2" fmla="val 5000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7271-4B87-43BF-907F-67CD34CBBD15}">
  <sheetPr codeName="Sheet1">
    <pageSetUpPr fitToPage="1"/>
  </sheetPr>
  <dimension ref="B2:DG130"/>
  <sheetViews>
    <sheetView topLeftCell="A31" zoomScale="82" zoomScaleNormal="80" workbookViewId="0">
      <selection activeCell="V44" sqref="V44"/>
    </sheetView>
  </sheetViews>
  <sheetFormatPr defaultRowHeight="14.4" x14ac:dyDescent="0.3"/>
  <cols>
    <col min="1" max="1" width="5.6640625" customWidth="1"/>
    <col min="2" max="2" width="14.6640625" customWidth="1"/>
    <col min="3" max="3" width="3.6640625" customWidth="1"/>
    <col min="4" max="4" width="19.6640625" customWidth="1"/>
    <col min="5" max="5" width="2.6640625" customWidth="1"/>
    <col min="6" max="8" width="5.6640625" customWidth="1"/>
    <col min="9" max="9" width="8.6640625" customWidth="1"/>
    <col min="10" max="29" width="6.6640625" customWidth="1"/>
    <col min="30" max="112" width="4.6640625" customWidth="1"/>
  </cols>
  <sheetData>
    <row r="2" spans="2:33" ht="28.8" x14ac:dyDescent="0.55000000000000004">
      <c r="B2" s="215" t="s">
        <v>3</v>
      </c>
      <c r="C2" s="215"/>
      <c r="D2" s="215"/>
      <c r="E2" s="215"/>
      <c r="F2" s="215"/>
      <c r="G2" s="215"/>
      <c r="H2" s="215"/>
      <c r="I2" s="215"/>
      <c r="J2" s="215"/>
      <c r="K2" s="215"/>
      <c r="L2" s="215"/>
      <c r="M2" s="215"/>
      <c r="N2" s="215"/>
      <c r="O2" s="215"/>
      <c r="P2" s="215"/>
      <c r="Q2" s="215"/>
      <c r="R2" s="215"/>
      <c r="S2" s="215"/>
      <c r="T2" s="215"/>
      <c r="U2" s="215"/>
      <c r="V2" s="215"/>
      <c r="W2" s="215"/>
      <c r="X2" s="215"/>
      <c r="Y2" s="215"/>
      <c r="Z2" s="134"/>
    </row>
    <row r="3" spans="2:33" ht="21" x14ac:dyDescent="0.4">
      <c r="B3" s="216" t="s">
        <v>117</v>
      </c>
      <c r="C3" s="216"/>
      <c r="D3" s="216"/>
      <c r="E3" s="216"/>
      <c r="F3" s="216"/>
      <c r="G3" s="216"/>
      <c r="H3" s="216"/>
      <c r="I3" s="216"/>
      <c r="J3" s="216"/>
      <c r="K3" s="216"/>
      <c r="L3" s="216"/>
      <c r="M3" s="216"/>
      <c r="N3" s="216"/>
      <c r="O3" s="216"/>
      <c r="P3" s="216"/>
      <c r="Q3" s="216"/>
      <c r="R3" s="216"/>
      <c r="S3" s="216"/>
      <c r="T3" s="216"/>
      <c r="U3" s="216"/>
      <c r="V3" s="216"/>
      <c r="W3" s="216"/>
      <c r="X3" s="216"/>
      <c r="Y3" s="216"/>
      <c r="Z3" s="57"/>
    </row>
    <row r="4" spans="2:33" ht="21" customHeight="1" x14ac:dyDescent="0.35">
      <c r="B4" s="20" t="s">
        <v>113</v>
      </c>
      <c r="C4" s="19" t="s">
        <v>4</v>
      </c>
      <c r="D4" s="78">
        <v>46215</v>
      </c>
      <c r="E4" s="21"/>
      <c r="F4" s="21"/>
      <c r="G4" s="21"/>
      <c r="H4" s="21"/>
      <c r="K4" s="173" t="s">
        <v>118</v>
      </c>
      <c r="L4" s="173"/>
      <c r="M4" s="173"/>
      <c r="N4" s="173"/>
      <c r="O4" s="173"/>
      <c r="P4" s="173"/>
      <c r="Q4" s="173"/>
      <c r="R4" s="173"/>
      <c r="S4" s="173"/>
      <c r="T4" s="173"/>
      <c r="U4" s="173"/>
      <c r="V4" s="173"/>
      <c r="W4" s="173"/>
    </row>
    <row r="5" spans="2:33" ht="26.4" thickBot="1" x14ac:dyDescent="0.6">
      <c r="B5" s="20" t="s">
        <v>2</v>
      </c>
      <c r="C5" s="22" t="s">
        <v>4</v>
      </c>
      <c r="D5" s="141" t="s">
        <v>595</v>
      </c>
      <c r="E5" s="21"/>
      <c r="F5" s="203" t="s">
        <v>18</v>
      </c>
      <c r="G5" s="204"/>
      <c r="H5" s="205"/>
      <c r="K5" s="199" t="s">
        <v>105</v>
      </c>
      <c r="L5" s="199"/>
      <c r="M5" s="199"/>
      <c r="N5" s="199"/>
      <c r="O5" s="199"/>
      <c r="P5" s="4"/>
      <c r="Q5" s="72">
        <f>HLOOKUP((M8+U8+Q12),L123:DG124,2,FALSE)</f>
        <v>4</v>
      </c>
      <c r="R5" s="4"/>
      <c r="S5" s="199" t="s">
        <v>106</v>
      </c>
      <c r="T5" s="199"/>
      <c r="U5" s="199"/>
      <c r="V5" s="199"/>
      <c r="W5" s="199"/>
      <c r="X5" s="4"/>
      <c r="Y5" s="4"/>
      <c r="Z5" s="4"/>
      <c r="AA5" s="198" t="s">
        <v>27</v>
      </c>
      <c r="AB5" s="198"/>
      <c r="AC5" s="198"/>
    </row>
    <row r="6" spans="2:33" ht="21" customHeight="1" thickTop="1" x14ac:dyDescent="0.35">
      <c r="B6" s="20" t="s">
        <v>1</v>
      </c>
      <c r="C6" s="22" t="s">
        <v>4</v>
      </c>
      <c r="D6" s="79">
        <v>30277</v>
      </c>
      <c r="E6" s="23"/>
      <c r="F6" s="200" t="str">
        <f t="array" ref="F6">IFERROR(INDEX(SHIO!$D$5:$D$155,MATCH(1,(INT($D$6)&gt;=INT(SHIO!$B$5:$B$155))*(INT($D$6)&lt;=INT(SHIO!$C$5:$C$155)),0)),"Tidak ditemukan")</f>
        <v>Tidak ditemukan</v>
      </c>
      <c r="G6" s="201"/>
      <c r="H6" s="202"/>
      <c r="I6" s="115" t="str">
        <f t="array" ref="I6">IFERROR(INDEX(SHIO!$E$5:$E$155,MATCH(1,(INT($D$6)&gt;=INT(SHIO!$B$5:$B$155))*(INT($D$6)&lt;=INT(SHIO!$C$5:$C$155)),0)),"Tidak ditemukan")</f>
        <v>Tidak ditemukan</v>
      </c>
      <c r="M6" s="24" t="str">
        <f>MID(TEXT($D$6,"dd/mm/yyyy"),1,2)</f>
        <v>22</v>
      </c>
      <c r="N6" s="1"/>
      <c r="O6" s="24" t="str">
        <f>MID(TEXT($D$6,"dd/mm/yyyy"),4,2)</f>
        <v>11</v>
      </c>
      <c r="P6" s="1"/>
      <c r="Q6" s="1"/>
      <c r="R6" s="1"/>
      <c r="S6" s="24" t="str">
        <f>MID(TEXT($D$6,"dd/mm/yyyy"),7,2)</f>
        <v>19</v>
      </c>
      <c r="T6" s="1"/>
      <c r="U6" s="24" t="str">
        <f>MID(TEXT($D$6,"dd/mm/yyyy"),9,2)</f>
        <v>82</v>
      </c>
      <c r="AA6" s="24" t="str">
        <f>MID(AD6,1,2)</f>
        <v>20</v>
      </c>
      <c r="AB6" s="1"/>
      <c r="AC6" s="24" t="str">
        <f>MID(AD6,3,2)</f>
        <v>26</v>
      </c>
      <c r="AD6">
        <f>IF(MONTH($D$4)=10,YEAR($D$4)+1,YEAR($D$4))</f>
        <v>2026</v>
      </c>
      <c r="AF6" s="55"/>
      <c r="AG6" s="55"/>
    </row>
    <row r="7" spans="2:33" ht="21" customHeight="1" x14ac:dyDescent="0.35">
      <c r="B7" s="117" t="str">
        <f>+F7&amp;G7&amp;H7</f>
        <v>426</v>
      </c>
      <c r="C7" s="31">
        <v>1</v>
      </c>
      <c r="D7" s="61" t="s">
        <v>6</v>
      </c>
      <c r="E7" s="22" t="s">
        <v>4</v>
      </c>
      <c r="F7" s="62">
        <f>+M8</f>
        <v>4</v>
      </c>
      <c r="G7" s="63">
        <f>+O8</f>
        <v>2</v>
      </c>
      <c r="H7" s="63">
        <f>+N9</f>
        <v>6</v>
      </c>
      <c r="M7" s="1"/>
      <c r="N7" s="1"/>
      <c r="O7" s="1"/>
      <c r="P7" s="1"/>
      <c r="Q7" s="1"/>
      <c r="R7" s="1"/>
      <c r="S7" s="1"/>
      <c r="T7" s="1"/>
      <c r="U7" s="1"/>
      <c r="AE7" s="55"/>
      <c r="AF7" s="55"/>
      <c r="AG7" s="55"/>
    </row>
    <row r="8" spans="2:33" ht="21" customHeight="1" x14ac:dyDescent="0.4">
      <c r="B8" s="117" t="str">
        <f t="shared" ref="B8:B19" si="0">+F8&amp;G8&amp;H8</f>
        <v>112</v>
      </c>
      <c r="C8" s="31">
        <v>2</v>
      </c>
      <c r="D8" s="61" t="s">
        <v>5</v>
      </c>
      <c r="E8" s="22" t="s">
        <v>4</v>
      </c>
      <c r="F8" s="64">
        <f>+S8</f>
        <v>1</v>
      </c>
      <c r="G8" s="64">
        <f>+U8</f>
        <v>1</v>
      </c>
      <c r="H8" s="64">
        <f>+T9</f>
        <v>2</v>
      </c>
      <c r="K8" s="8"/>
      <c r="L8" s="28" t="s">
        <v>0</v>
      </c>
      <c r="M8" s="77">
        <f>HLOOKUP(VALUE(M6),$K$123:$DG$124,2,FALSE)</f>
        <v>4</v>
      </c>
      <c r="N8" s="5"/>
      <c r="O8" s="56">
        <f>HLOOKUP(VALUE(O6),$K$123:$DG$124,2,FALSE)</f>
        <v>2</v>
      </c>
      <c r="P8" s="5"/>
      <c r="Q8" s="5"/>
      <c r="R8" s="5"/>
      <c r="S8" s="56">
        <f>HLOOKUP(VALUE(S6),$K$123:$DG$124,2,FALSE)</f>
        <v>1</v>
      </c>
      <c r="T8" s="5"/>
      <c r="U8" s="77">
        <f>HLOOKUP(VALUE(U6),$K$123:$DG$124,2,FALSE)</f>
        <v>1</v>
      </c>
      <c r="V8" s="36" t="s">
        <v>0</v>
      </c>
      <c r="W8" s="9"/>
      <c r="AA8" s="113">
        <f>HLOOKUP(VALUE(AA6),$K$123:$DG$124,2,FALSE)</f>
        <v>2</v>
      </c>
      <c r="AC8" s="113">
        <f>HLOOKUP(VALUE(AC6),$K$123:$DG$124,2,FALSE)</f>
        <v>8</v>
      </c>
    </row>
    <row r="9" spans="2:33" ht="21" customHeight="1" x14ac:dyDescent="0.4">
      <c r="B9" s="117" t="str">
        <f t="shared" si="0"/>
        <v>628</v>
      </c>
      <c r="C9" s="31">
        <v>3</v>
      </c>
      <c r="D9" s="61" t="s">
        <v>7</v>
      </c>
      <c r="E9" s="22" t="s">
        <v>4</v>
      </c>
      <c r="F9" s="63">
        <f>+N9</f>
        <v>6</v>
      </c>
      <c r="G9" s="63">
        <f>+T9</f>
        <v>2</v>
      </c>
      <c r="H9" s="63">
        <f>+Q12</f>
        <v>8</v>
      </c>
      <c r="L9" s="6"/>
      <c r="M9" s="1"/>
      <c r="N9" s="57">
        <f>HLOOKUP((M8+O8),$K$123:$DG$124,2,FALSE)</f>
        <v>6</v>
      </c>
      <c r="O9" s="1"/>
      <c r="P9" s="1"/>
      <c r="Q9" s="1"/>
      <c r="R9" s="1"/>
      <c r="S9" s="1"/>
      <c r="T9" s="57">
        <f>HLOOKUP((S8+U8),$K$123:$DG$124,2,FALSE)</f>
        <v>2</v>
      </c>
      <c r="U9" s="1"/>
      <c r="V9" s="10"/>
      <c r="AB9" s="113">
        <f>HLOOKUP((AA8+AC8),$K$123:$DG$124,2,FALSE)</f>
        <v>1</v>
      </c>
    </row>
    <row r="10" spans="2:33" ht="21" customHeight="1" x14ac:dyDescent="0.35">
      <c r="B10" s="117" t="str">
        <f t="shared" si="0"/>
        <v>685</v>
      </c>
      <c r="C10" s="31">
        <v>4</v>
      </c>
      <c r="D10" s="61" t="s">
        <v>581</v>
      </c>
      <c r="E10" s="22" t="s">
        <v>4</v>
      </c>
      <c r="F10" s="64">
        <f>+N9</f>
        <v>6</v>
      </c>
      <c r="G10" s="64">
        <f>+Q12</f>
        <v>8</v>
      </c>
      <c r="H10" s="64">
        <f>+U15</f>
        <v>5</v>
      </c>
      <c r="M10" s="7"/>
      <c r="N10" s="1"/>
      <c r="O10" s="1"/>
      <c r="P10" s="1"/>
      <c r="Q10" s="1"/>
      <c r="R10" s="1"/>
      <c r="S10" s="1"/>
      <c r="T10" s="1"/>
      <c r="U10" s="10"/>
    </row>
    <row r="11" spans="2:33" ht="21" customHeight="1" x14ac:dyDescent="0.35">
      <c r="B11" s="117" t="str">
        <f t="shared" si="0"/>
        <v>281</v>
      </c>
      <c r="C11" s="31">
        <v>5</v>
      </c>
      <c r="D11" s="61" t="s">
        <v>582</v>
      </c>
      <c r="E11" s="22" t="s">
        <v>4</v>
      </c>
      <c r="F11" s="63">
        <f>+T9</f>
        <v>2</v>
      </c>
      <c r="G11" s="63">
        <f>+Q12</f>
        <v>8</v>
      </c>
      <c r="H11" s="63">
        <f>+M15</f>
        <v>1</v>
      </c>
      <c r="M11" s="1" t="s">
        <v>514</v>
      </c>
      <c r="N11" s="6"/>
      <c r="O11" s="1"/>
      <c r="P11" s="13"/>
      <c r="Q11" s="35">
        <f>HLOOKUP((N9+AB9),$K$123:$DG$124,2,FALSE)</f>
        <v>7</v>
      </c>
      <c r="R11" s="7"/>
      <c r="S11" s="1"/>
      <c r="T11" s="10"/>
      <c r="U11" s="1"/>
    </row>
    <row r="12" spans="2:33" ht="21" customHeight="1" x14ac:dyDescent="0.45">
      <c r="B12" s="117" t="str">
        <f t="shared" si="0"/>
        <v>156</v>
      </c>
      <c r="C12" s="31">
        <v>6</v>
      </c>
      <c r="D12" s="61" t="s">
        <v>10</v>
      </c>
      <c r="E12" s="22" t="s">
        <v>4</v>
      </c>
      <c r="F12" s="64">
        <f>+M15</f>
        <v>1</v>
      </c>
      <c r="G12" s="64">
        <f>+U15</f>
        <v>5</v>
      </c>
      <c r="H12" s="64">
        <f>+Q17</f>
        <v>6</v>
      </c>
      <c r="M12" s="1"/>
      <c r="N12" s="1"/>
      <c r="O12" s="12"/>
      <c r="P12" s="3"/>
      <c r="Q12" s="58">
        <f>HLOOKUP((N9+T9),$K$123:$DG$124,2,FALSE)</f>
        <v>8</v>
      </c>
      <c r="R12" s="1"/>
      <c r="S12" s="12"/>
      <c r="T12" s="1"/>
      <c r="U12" s="1"/>
    </row>
    <row r="13" spans="2:33" ht="21" customHeight="1" x14ac:dyDescent="0.35">
      <c r="B13" s="117" t="str">
        <f t="shared" si="0"/>
        <v>461</v>
      </c>
      <c r="C13" s="31">
        <v>7</v>
      </c>
      <c r="D13" s="61" t="s">
        <v>11</v>
      </c>
      <c r="E13" s="22" t="s">
        <v>4</v>
      </c>
      <c r="F13" s="63">
        <f>M8</f>
        <v>4</v>
      </c>
      <c r="G13" s="63">
        <f>+N9</f>
        <v>6</v>
      </c>
      <c r="H13" s="63">
        <f>+O17</f>
        <v>1</v>
      </c>
      <c r="M13" s="1"/>
      <c r="N13" s="14"/>
      <c r="O13" s="1"/>
      <c r="P13" s="7"/>
      <c r="Q13" s="37" t="s">
        <v>0</v>
      </c>
      <c r="R13" s="10"/>
      <c r="S13" s="1"/>
      <c r="T13" s="7"/>
      <c r="U13" s="1"/>
    </row>
    <row r="14" spans="2:33" ht="21" customHeight="1" x14ac:dyDescent="0.35">
      <c r="B14" s="117" t="str">
        <f t="shared" si="0"/>
        <v>268</v>
      </c>
      <c r="C14" s="31">
        <v>8</v>
      </c>
      <c r="D14" s="61" t="s">
        <v>12</v>
      </c>
      <c r="E14" s="22" t="s">
        <v>4</v>
      </c>
      <c r="F14" s="64">
        <f>+O8</f>
        <v>2</v>
      </c>
      <c r="G14" s="64">
        <f>+N9</f>
        <v>6</v>
      </c>
      <c r="H14" s="64">
        <f>+N17</f>
        <v>8</v>
      </c>
      <c r="M14" s="14"/>
      <c r="N14" s="1"/>
      <c r="O14" s="1"/>
      <c r="P14" s="1"/>
      <c r="Q14" s="11"/>
      <c r="S14" s="1"/>
      <c r="T14" s="1"/>
      <c r="U14" s="7"/>
    </row>
    <row r="15" spans="2:33" ht="21" customHeight="1" x14ac:dyDescent="0.4">
      <c r="B15" s="117" t="str">
        <f t="shared" si="0"/>
        <v>189</v>
      </c>
      <c r="C15" s="31">
        <v>9</v>
      </c>
      <c r="D15" s="61" t="s">
        <v>13</v>
      </c>
      <c r="E15" s="22" t="s">
        <v>4</v>
      </c>
      <c r="F15" s="63">
        <f>+O17</f>
        <v>1</v>
      </c>
      <c r="G15" s="63">
        <f>+N17</f>
        <v>8</v>
      </c>
      <c r="H15" s="63">
        <f>+M17</f>
        <v>9</v>
      </c>
      <c r="L15" s="15"/>
      <c r="M15" s="59">
        <f>HLOOKUP((T9+Q12),$K$123:$DG$124,2,FALSE)</f>
        <v>1</v>
      </c>
      <c r="N15" s="17"/>
      <c r="O15" s="16"/>
      <c r="P15" s="16"/>
      <c r="Q15" s="16"/>
      <c r="R15" s="16"/>
      <c r="S15" s="16"/>
      <c r="T15" s="17"/>
      <c r="U15" s="59">
        <f>HLOOKUP((N9+Q12),$K$123:$DG$124,2,FALSE)</f>
        <v>5</v>
      </c>
      <c r="V15" s="18"/>
    </row>
    <row r="16" spans="2:33" ht="21" customHeight="1" x14ac:dyDescent="0.35">
      <c r="B16" s="117" t="str">
        <f t="shared" si="0"/>
        <v>123</v>
      </c>
      <c r="C16" s="31">
        <v>10</v>
      </c>
      <c r="D16" s="61" t="s">
        <v>14</v>
      </c>
      <c r="E16" s="22" t="s">
        <v>4</v>
      </c>
      <c r="F16" s="64">
        <f>+S8</f>
        <v>1</v>
      </c>
      <c r="G16" s="64">
        <f>+T9</f>
        <v>2</v>
      </c>
      <c r="H16" s="64">
        <f>+S17</f>
        <v>3</v>
      </c>
      <c r="M16" s="1"/>
      <c r="N16" s="1"/>
      <c r="O16" s="1"/>
      <c r="P16" s="1"/>
      <c r="Q16" s="1"/>
      <c r="R16" s="1"/>
      <c r="S16" s="1"/>
      <c r="T16" s="1"/>
      <c r="U16" s="1"/>
    </row>
    <row r="17" spans="2:31" ht="21" customHeight="1" x14ac:dyDescent="0.4">
      <c r="B17" s="117" t="str">
        <f t="shared" si="0"/>
        <v>123</v>
      </c>
      <c r="C17" s="31">
        <v>11</v>
      </c>
      <c r="D17" s="61" t="s">
        <v>15</v>
      </c>
      <c r="E17" s="22" t="s">
        <v>4</v>
      </c>
      <c r="F17" s="63">
        <f>+U8</f>
        <v>1</v>
      </c>
      <c r="G17" s="63">
        <f>+T9</f>
        <v>2</v>
      </c>
      <c r="H17" s="63">
        <f>+T17</f>
        <v>3</v>
      </c>
      <c r="M17" s="60">
        <f>HLOOKUP((N17+O17),$K$123:$DG$124,2,FALSE)</f>
        <v>9</v>
      </c>
      <c r="N17" s="60">
        <f>HLOOKUP((O8+N9),$K$123:$DG$124,2,FALSE)</f>
        <v>8</v>
      </c>
      <c r="O17" s="60">
        <f>HLOOKUP((M8+N9),$K$123:$DG$124,2,FALSE)</f>
        <v>1</v>
      </c>
      <c r="P17" s="1"/>
      <c r="Q17" s="73">
        <f>HLOOKUP((M15+U15),$K$123:$DG$124,2,FALSE)</f>
        <v>6</v>
      </c>
      <c r="R17" s="1"/>
      <c r="S17" s="60">
        <f>HLOOKUP((S8+T9),$K$123:$DG$124,2,FALSE)</f>
        <v>3</v>
      </c>
      <c r="T17" s="60">
        <f>HLOOKUP((U8+T9),$K$123:$DG$124,2,FALSE)</f>
        <v>3</v>
      </c>
      <c r="U17" s="60">
        <f>HLOOKUP((S17+T17),$K$123:$DG$124,2,FALSE)</f>
        <v>6</v>
      </c>
      <c r="AA17" s="114">
        <f>HLOOKUP((AA8+AB9),$K$123:$DG$124,2,FALSE)</f>
        <v>3</v>
      </c>
      <c r="AB17" s="114">
        <f>HLOOKUP((AC8+AB9),$K$123:$DG$124,2,FALSE)</f>
        <v>9</v>
      </c>
      <c r="AC17" s="114">
        <f>HLOOKUP((AA17+AB17),$K$123:$DG$124,2,FALSE)</f>
        <v>3</v>
      </c>
    </row>
    <row r="18" spans="2:31" ht="21" customHeight="1" x14ac:dyDescent="0.35">
      <c r="B18" s="117" t="str">
        <f t="shared" si="0"/>
        <v>336</v>
      </c>
      <c r="C18" s="31">
        <v>12</v>
      </c>
      <c r="D18" s="61" t="s">
        <v>16</v>
      </c>
      <c r="E18" s="22" t="s">
        <v>4</v>
      </c>
      <c r="F18" s="64">
        <f>+S17</f>
        <v>3</v>
      </c>
      <c r="G18" s="64">
        <f>+T17</f>
        <v>3</v>
      </c>
      <c r="H18" s="64">
        <f>+U17</f>
        <v>6</v>
      </c>
      <c r="M18" s="1"/>
      <c r="N18" s="1"/>
      <c r="O18" s="1"/>
      <c r="P18" s="1"/>
      <c r="Q18" s="2"/>
      <c r="R18" s="1"/>
      <c r="S18" s="1"/>
      <c r="T18" s="1"/>
      <c r="U18" s="1"/>
    </row>
    <row r="19" spans="2:31" ht="21" customHeight="1" x14ac:dyDescent="0.35">
      <c r="B19" s="117" t="str">
        <f t="shared" si="0"/>
        <v>347</v>
      </c>
      <c r="C19" s="31">
        <v>13</v>
      </c>
      <c r="D19" s="61" t="s">
        <v>17</v>
      </c>
      <c r="E19" s="22" t="s">
        <v>4</v>
      </c>
      <c r="F19" s="68">
        <f>HLOOKUP((F9+F9),$K$123:$DG$124,2,FALSE)</f>
        <v>3</v>
      </c>
      <c r="G19" s="68">
        <f>HLOOKUP((G9+G9),$K$123:$DG$124,2,FALSE)</f>
        <v>4</v>
      </c>
      <c r="H19" s="68">
        <f>HLOOKUP((H9+H9),$K$123:$DG$124,2,FALSE)</f>
        <v>7</v>
      </c>
      <c r="K19" s="49" t="s">
        <v>107</v>
      </c>
      <c r="L19" s="21"/>
      <c r="N19" s="126">
        <f>+$Q$12</f>
        <v>8</v>
      </c>
      <c r="O19" s="61" t="str">
        <f>VLOOKUP(N19,ELEMEN!$A$3:$B$11,2,FALSE)</f>
        <v>API</v>
      </c>
      <c r="P19" s="61"/>
      <c r="Q19" s="20" t="s">
        <v>96</v>
      </c>
      <c r="R19" s="25"/>
      <c r="S19" s="21"/>
      <c r="T19" s="21"/>
      <c r="U19" s="21"/>
      <c r="V19" s="21"/>
      <c r="W19" s="21"/>
      <c r="X19" s="21"/>
      <c r="Y19" s="21"/>
      <c r="Z19" s="21"/>
      <c r="AA19" s="21"/>
      <c r="AB19" s="21"/>
      <c r="AC19" s="21"/>
      <c r="AD19" s="21"/>
      <c r="AE19" s="21"/>
    </row>
    <row r="20" spans="2:31" ht="21" customHeight="1" thickBot="1" x14ac:dyDescent="0.4">
      <c r="K20" s="49" t="s">
        <v>109</v>
      </c>
      <c r="L20" s="21"/>
      <c r="M20" s="26"/>
      <c r="N20" s="126" t="str">
        <f>+B9</f>
        <v>628</v>
      </c>
      <c r="P20" s="21"/>
      <c r="Q20" s="21"/>
      <c r="R20" s="21"/>
      <c r="S20" s="21"/>
      <c r="T20" s="21"/>
      <c r="U20" s="21"/>
      <c r="V20" s="21"/>
      <c r="W20" s="21"/>
      <c r="X20" s="21"/>
      <c r="Y20" s="21"/>
      <c r="Z20" s="21"/>
      <c r="AA20" s="21"/>
      <c r="AB20" s="21"/>
      <c r="AC20" s="21"/>
      <c r="AD20" s="21"/>
      <c r="AE20" s="21"/>
    </row>
    <row r="21" spans="2:31" ht="21" customHeight="1" x14ac:dyDescent="0.3">
      <c r="D21" s="146" t="s">
        <v>108</v>
      </c>
      <c r="E21" s="147"/>
      <c r="F21" s="147"/>
      <c r="G21" s="147"/>
      <c r="H21" s="148"/>
      <c r="K21" s="30" t="s">
        <v>31</v>
      </c>
      <c r="L21" s="32" t="str">
        <f>VLOOKUP($N$19,ELEMEN!$A$3:$I$11,3,FALSE)</f>
        <v>TERLAHIR SEBAGAI SEORANG YG MEMPUNYAI SIFAT TANGGUNG JAWAB</v>
      </c>
      <c r="M21" s="69"/>
      <c r="N21" s="69"/>
      <c r="O21" s="69"/>
      <c r="P21" s="69"/>
      <c r="Q21" s="21"/>
      <c r="R21" s="21"/>
      <c r="S21" s="21"/>
      <c r="T21" s="21"/>
      <c r="U21" s="21"/>
      <c r="V21" s="21"/>
      <c r="W21" s="21"/>
      <c r="X21" s="21"/>
      <c r="Y21" s="21"/>
      <c r="Z21" s="21"/>
      <c r="AA21" s="21"/>
      <c r="AB21" s="21"/>
      <c r="AC21" s="21"/>
      <c r="AD21" s="21"/>
      <c r="AE21" s="21"/>
    </row>
    <row r="22" spans="2:31" ht="21" customHeight="1" thickBot="1" x14ac:dyDescent="0.35">
      <c r="D22" s="164" t="str">
        <f>TRIM(IF(COUNTIF($K$117:$Q$117, 1)=0,"1 "," ")&amp;IF(COUNTIF($K$117:$Q$117, 2)=0,"2 "," ")&amp;IF(COUNTIF($K$117:$Q$117, 3)=0,"3 "," ")&amp;IF(COUNTIF($K$117:$Q$117, 4)=0,"4 "," ")&amp;IF(COUNTIF($K$117:$Q$117, 5)=0,"5 "," ")&amp;IF(COUNTIF($K$117:$Q$117, 6)=0,"6 "," ")&amp;IF(COUNTIF($K$117:$Q$117, 7)=0,"7 "," ")&amp;IF(COUNTIF($K$117:$Q$117, 8)=0,"8 "," ")&amp;IF(COUNTIF($K$117:$Q$117, 9)=0,"9 "," "))</f>
        <v>3 5 7 9</v>
      </c>
      <c r="E22" s="165"/>
      <c r="F22" s="165"/>
      <c r="G22" s="165"/>
      <c r="H22" s="166"/>
      <c r="K22" s="30" t="s">
        <v>31</v>
      </c>
      <c r="L22" s="32" t="str">
        <f>VLOOKUP($N$19,ELEMEN!$A$3:$I$11,4,FALSE)</f>
        <v>MENGUTAMAKAN ORANG LAIN (PERHATIAN)</v>
      </c>
      <c r="M22" s="69"/>
      <c r="N22" s="69"/>
      <c r="O22" s="69"/>
      <c r="P22" s="69"/>
      <c r="Q22" s="21"/>
      <c r="R22" s="21"/>
      <c r="S22" s="21"/>
      <c r="T22" s="21"/>
      <c r="U22" s="21"/>
      <c r="V22" s="21"/>
      <c r="W22" s="21"/>
      <c r="X22" s="21"/>
      <c r="Y22" s="21"/>
      <c r="Z22" s="21"/>
      <c r="AA22" s="21"/>
      <c r="AB22" s="21"/>
      <c r="AC22" s="21"/>
      <c r="AD22" s="21"/>
      <c r="AE22" s="21"/>
    </row>
    <row r="23" spans="2:31" ht="21" customHeight="1" thickBot="1" x14ac:dyDescent="0.35">
      <c r="K23" s="30" t="s">
        <v>31</v>
      </c>
      <c r="L23" s="32" t="str">
        <f>VLOOKUP($N$19,ELEMEN!$A$3:$I$11,5,FALSE)</f>
        <v>MEMPUNYAI ETOS KERJA</v>
      </c>
      <c r="M23" s="69"/>
      <c r="N23" s="69"/>
      <c r="O23" s="69"/>
      <c r="P23" s="69"/>
      <c r="Q23" s="21"/>
      <c r="R23" s="21"/>
      <c r="S23" s="21"/>
      <c r="T23" s="21"/>
      <c r="U23" s="21"/>
      <c r="V23" s="21"/>
      <c r="W23" s="21"/>
      <c r="X23" s="21"/>
      <c r="Y23" s="21"/>
      <c r="Z23" s="21"/>
      <c r="AA23" s="21"/>
      <c r="AB23" s="21"/>
      <c r="AC23" s="21"/>
      <c r="AD23" s="21"/>
      <c r="AE23" s="21"/>
    </row>
    <row r="24" spans="2:31" ht="21" customHeight="1" x14ac:dyDescent="0.3">
      <c r="C24" s="161" t="s">
        <v>507</v>
      </c>
      <c r="D24" s="162"/>
      <c r="E24" s="162"/>
      <c r="F24" s="162"/>
      <c r="G24" s="162"/>
      <c r="H24" s="162"/>
      <c r="I24" s="163"/>
      <c r="K24" s="30" t="s">
        <v>31</v>
      </c>
      <c r="L24" s="32" t="str">
        <f>VLOOKUP($N$19,ELEMEN!$A$3:$I$11,6,FALSE)</f>
        <v>JUJUR &amp; BERINTEGRITAS &amp; DERMAWAN</v>
      </c>
      <c r="M24" s="69"/>
      <c r="N24" s="69"/>
      <c r="O24" s="69"/>
      <c r="P24" s="69"/>
      <c r="Q24" s="21"/>
      <c r="R24" s="21"/>
      <c r="S24" s="21"/>
      <c r="T24" s="21"/>
      <c r="U24" s="21"/>
      <c r="V24" s="21"/>
      <c r="W24" s="21"/>
      <c r="X24" s="21"/>
      <c r="Y24" s="21"/>
      <c r="Z24" s="21"/>
      <c r="AA24" s="21"/>
      <c r="AB24" s="21"/>
      <c r="AC24" s="21"/>
      <c r="AD24" s="21"/>
      <c r="AE24" s="21"/>
    </row>
    <row r="25" spans="2:31" ht="21" customHeight="1" x14ac:dyDescent="0.4">
      <c r="C25" s="212" t="str">
        <f>+$Q$11&amp; " #"</f>
        <v>7 #</v>
      </c>
      <c r="D25" s="213"/>
      <c r="E25" s="112" t="str">
        <f>VLOOKUP(AB9,ELEMEN!$A$3:$B$11,2,FALSE)</f>
        <v>LOGAM</v>
      </c>
      <c r="F25" s="110"/>
      <c r="G25" s="110"/>
      <c r="H25" s="110"/>
      <c r="I25" s="111"/>
      <c r="K25" s="38" t="s">
        <v>47</v>
      </c>
      <c r="L25" s="39" t="str">
        <f>VLOOKUP($N$19,ELEMEN!$A$3:$I$11,7,FALSE)</f>
        <v>KURANG BERPIKIR KE DIRI SENDIRI</v>
      </c>
      <c r="M25" s="21"/>
      <c r="N25" s="21"/>
      <c r="O25" s="21"/>
      <c r="P25" s="21"/>
      <c r="Q25" s="21"/>
      <c r="R25" s="21"/>
      <c r="S25" s="21"/>
      <c r="T25" s="21"/>
      <c r="U25" s="21"/>
      <c r="V25" s="21"/>
      <c r="W25" s="21"/>
      <c r="X25" s="21"/>
      <c r="Y25" s="21"/>
      <c r="Z25" s="21"/>
      <c r="AA25" s="21"/>
      <c r="AB25" s="21"/>
      <c r="AC25" s="21"/>
      <c r="AD25" s="21"/>
      <c r="AE25" s="21"/>
    </row>
    <row r="26" spans="2:31" ht="21" customHeight="1" x14ac:dyDescent="0.3">
      <c r="C26" s="158" t="s">
        <v>484</v>
      </c>
      <c r="D26" s="159"/>
      <c r="E26" s="159"/>
      <c r="F26" s="159"/>
      <c r="G26" s="159"/>
      <c r="H26" s="159"/>
      <c r="I26" s="160"/>
      <c r="K26" s="38" t="s">
        <v>47</v>
      </c>
      <c r="L26" s="39" t="str">
        <f>VLOOKUP($N$19,ELEMEN!$A$3:$I$11,8,FALSE)</f>
        <v>STRESS&amp;KURANG WAKTU SENDIRI</v>
      </c>
      <c r="M26" s="21"/>
      <c r="N26" s="21"/>
      <c r="O26" s="21"/>
      <c r="P26" s="21"/>
      <c r="Q26" s="21"/>
      <c r="R26" s="21"/>
      <c r="S26" s="21"/>
      <c r="T26" s="21"/>
      <c r="U26" s="21"/>
      <c r="V26" s="21"/>
      <c r="W26" s="21"/>
      <c r="X26" s="21"/>
      <c r="Y26" s="21"/>
      <c r="Z26" s="21"/>
      <c r="AA26" s="21"/>
      <c r="AB26" s="21"/>
      <c r="AC26" s="21"/>
      <c r="AD26" s="21"/>
      <c r="AE26" s="21"/>
    </row>
    <row r="27" spans="2:31" ht="21" customHeight="1" x14ac:dyDescent="0.3">
      <c r="C27" s="70" t="s">
        <v>31</v>
      </c>
      <c r="D27" s="167" t="str">
        <f>VLOOKUP($Q$11,ELEMEN!$A$3:$N$11,13,FALSE)</f>
        <v>MEMBANGUN RELASI</v>
      </c>
      <c r="E27" s="167"/>
      <c r="F27" s="167"/>
      <c r="G27" s="167"/>
      <c r="H27" s="167"/>
      <c r="I27" s="168"/>
      <c r="K27" s="38" t="s">
        <v>47</v>
      </c>
      <c r="L27" s="39" t="str">
        <f>VLOOKUP($N$19,ELEMEN!$A$3:$I$11,9,FALSE)</f>
        <v>PERFEKSIONIS(SUSAH MENDELEGASI)</v>
      </c>
      <c r="M27" s="21"/>
      <c r="N27" s="21"/>
      <c r="O27" s="21"/>
      <c r="P27" s="21"/>
      <c r="Q27" s="21"/>
      <c r="R27" s="21"/>
      <c r="S27" s="21"/>
      <c r="T27" s="21"/>
      <c r="U27" s="21"/>
      <c r="V27" s="21"/>
      <c r="W27" s="21"/>
      <c r="X27" s="21"/>
      <c r="Y27" s="21"/>
      <c r="Z27" s="21"/>
      <c r="AA27" s="21"/>
      <c r="AB27" s="21"/>
      <c r="AC27" s="21"/>
      <c r="AD27" s="21"/>
      <c r="AE27" s="21"/>
    </row>
    <row r="28" spans="2:31" ht="21" customHeight="1" thickBot="1" x14ac:dyDescent="0.35">
      <c r="C28" s="70" t="s">
        <v>31</v>
      </c>
      <c r="D28" s="167" t="str">
        <f>VLOOKUP($Q$11,ELEMEN!$A$3:$N$11,14,FALSE)</f>
        <v>PENUH KEJUTAN</v>
      </c>
      <c r="E28" s="167"/>
      <c r="F28" s="167"/>
      <c r="G28" s="167"/>
      <c r="H28" s="167"/>
      <c r="I28" s="168"/>
      <c r="K28" s="38"/>
      <c r="L28" s="39"/>
      <c r="M28" s="21"/>
      <c r="N28" s="21"/>
      <c r="O28" s="21"/>
      <c r="P28" s="21"/>
      <c r="Q28" s="21"/>
      <c r="R28" s="21"/>
      <c r="S28" s="21"/>
      <c r="T28" s="21"/>
      <c r="U28" s="21"/>
      <c r="V28" s="21"/>
      <c r="W28" s="21"/>
      <c r="X28" s="21"/>
      <c r="Y28" s="21"/>
      <c r="Z28" s="21"/>
      <c r="AA28" s="21"/>
      <c r="AB28" s="21"/>
      <c r="AC28" s="21"/>
      <c r="AD28" s="21"/>
      <c r="AE28" s="21"/>
    </row>
    <row r="29" spans="2:31" ht="21" customHeight="1" thickBot="1" x14ac:dyDescent="0.45">
      <c r="C29" s="71" t="s">
        <v>31</v>
      </c>
      <c r="D29" s="169" t="str">
        <f>VLOOKUP($Q$11,ELEMEN!$A$3:$O$12,15,FALSE)</f>
        <v>KEBERUNTUNGAN TINGGI</v>
      </c>
      <c r="E29" s="169"/>
      <c r="F29" s="169"/>
      <c r="G29" s="169"/>
      <c r="H29" s="169"/>
      <c r="I29" s="170"/>
      <c r="K29" s="186" t="s">
        <v>482</v>
      </c>
      <c r="L29" s="187"/>
      <c r="M29" s="187"/>
      <c r="N29" s="187"/>
      <c r="O29" s="188"/>
      <c r="P29" s="87">
        <f>+Q5</f>
        <v>4</v>
      </c>
      <c r="Q29" s="194" t="str">
        <f>VLOOKUP(P29,ELEMEN!$A$22:$D$30,3,FALSE)</f>
        <v>MENJADI PLANNER (KONSELOR, KONSULTAN)</v>
      </c>
      <c r="R29" s="194"/>
      <c r="S29" s="194"/>
      <c r="T29" s="194"/>
      <c r="U29" s="194"/>
      <c r="V29" s="194"/>
      <c r="W29" s="194"/>
      <c r="X29" s="194"/>
      <c r="Y29" s="195"/>
      <c r="Z29" s="131"/>
      <c r="AA29" s="21"/>
      <c r="AB29" s="21"/>
      <c r="AC29" s="21"/>
      <c r="AD29" s="21"/>
      <c r="AE29" s="21"/>
    </row>
    <row r="30" spans="2:31" ht="21" customHeight="1" x14ac:dyDescent="0.3">
      <c r="K30" s="189" t="s">
        <v>483</v>
      </c>
      <c r="L30" s="190"/>
      <c r="M30" s="190"/>
      <c r="N30" s="190"/>
      <c r="O30" s="191"/>
      <c r="P30" s="192" t="str">
        <f>VLOOKUP(P29,ELEMEN!$A$22:$E$30,4,FALSE)</f>
        <v>2 (Komunikasi), 4 (Rencana), 9 (Hasil)</v>
      </c>
      <c r="Q30" s="192"/>
      <c r="R30" s="192"/>
      <c r="S30" s="192"/>
      <c r="T30" s="192"/>
      <c r="U30" s="192"/>
      <c r="V30" s="192"/>
      <c r="W30" s="192"/>
      <c r="X30" s="192"/>
      <c r="Y30" s="193"/>
      <c r="Z30" s="66"/>
      <c r="AA30" s="21"/>
      <c r="AB30" s="21"/>
      <c r="AC30" s="21"/>
      <c r="AD30" s="21"/>
      <c r="AE30" s="21"/>
    </row>
    <row r="31" spans="2:31" ht="21" customHeight="1" thickBot="1" x14ac:dyDescent="0.35">
      <c r="K31" s="84"/>
      <c r="L31" s="85"/>
      <c r="M31" s="85"/>
      <c r="N31" s="85"/>
      <c r="O31" s="86"/>
      <c r="P31" s="149" t="str">
        <f>VLOOKUP(P29,ELEMEN!$A$22:$E$30,5,FALSE)</f>
        <v/>
      </c>
      <c r="Q31" s="149"/>
      <c r="R31" s="149"/>
      <c r="S31" s="149"/>
      <c r="T31" s="149"/>
      <c r="U31" s="149"/>
      <c r="V31" s="149"/>
      <c r="W31" s="149"/>
      <c r="X31" s="149"/>
      <c r="Y31" s="150"/>
      <c r="Z31" s="66"/>
      <c r="AA31" s="21"/>
      <c r="AB31" s="21"/>
      <c r="AC31" s="21"/>
      <c r="AD31" s="21"/>
      <c r="AE31" s="21"/>
    </row>
    <row r="32" spans="2:31" ht="21" customHeight="1" thickBot="1" x14ac:dyDescent="0.35">
      <c r="K32" s="67"/>
      <c r="L32" s="67"/>
      <c r="M32" s="67"/>
      <c r="N32" s="67"/>
      <c r="O32" s="67"/>
      <c r="P32" s="66"/>
      <c r="Q32" s="66"/>
      <c r="R32" s="66"/>
      <c r="S32" s="66"/>
      <c r="T32" s="66"/>
      <c r="U32" s="66"/>
      <c r="V32" s="66"/>
      <c r="W32" s="66"/>
      <c r="X32" s="66"/>
      <c r="Y32" s="66"/>
      <c r="Z32" s="66"/>
      <c r="AA32" s="21"/>
      <c r="AB32" s="21"/>
      <c r="AC32" s="21"/>
      <c r="AD32" s="21"/>
      <c r="AE32" s="21"/>
    </row>
    <row r="33" spans="5:31" ht="21" customHeight="1" x14ac:dyDescent="0.35">
      <c r="E33" s="65" t="s">
        <v>448</v>
      </c>
      <c r="K33" s="74" t="str">
        <f>TRIM(IF(COUNTIF($K$117:$Q$117,4)&gt;=1,"4",""))</f>
        <v>4</v>
      </c>
      <c r="L33" s="151" t="str">
        <f>IF(K33="","",VLOOKUP(INT(K33),ELEMEN!A14:C18,3,FALSE))</f>
        <v>Mendapatkan Berkat KEBAHAGIAN ( Lahan / Tanah / Perumahan / Aset )</v>
      </c>
      <c r="M33" s="151"/>
      <c r="N33" s="151"/>
      <c r="O33" s="151"/>
      <c r="P33" s="151"/>
      <c r="Q33" s="151"/>
      <c r="R33" s="151"/>
      <c r="S33" s="151"/>
      <c r="T33" s="151"/>
      <c r="U33" s="151"/>
      <c r="V33" s="151"/>
      <c r="W33" s="151"/>
      <c r="X33" s="151"/>
      <c r="Y33" s="152"/>
      <c r="Z33" s="135"/>
      <c r="AA33" s="21"/>
      <c r="AB33" s="21"/>
      <c r="AC33" s="21"/>
      <c r="AD33" s="21"/>
      <c r="AE33" s="21"/>
    </row>
    <row r="34" spans="5:31" ht="21" customHeight="1" x14ac:dyDescent="0.3">
      <c r="K34" s="75" t="str">
        <f>TRIM(IF(COUNTIF($K$117:$Q$117,5)&gt;=1,"5",""))</f>
        <v/>
      </c>
      <c r="L34" s="153" t="str">
        <f>IF(K34="","",VLOOKUP(INT(K34),ELEMEN!A15:C19,3,FALSE))</f>
        <v/>
      </c>
      <c r="M34" s="153"/>
      <c r="N34" s="153"/>
      <c r="O34" s="153"/>
      <c r="P34" s="153"/>
      <c r="Q34" s="153"/>
      <c r="R34" s="153"/>
      <c r="S34" s="153"/>
      <c r="T34" s="153"/>
      <c r="U34" s="153"/>
      <c r="V34" s="153"/>
      <c r="W34" s="153"/>
      <c r="X34" s="153"/>
      <c r="Y34" s="154"/>
      <c r="Z34" s="135"/>
      <c r="AA34" s="21"/>
      <c r="AB34" s="21"/>
      <c r="AC34" s="21"/>
      <c r="AD34" s="21"/>
      <c r="AE34" s="21"/>
    </row>
    <row r="35" spans="5:31" ht="21" customHeight="1" x14ac:dyDescent="0.3">
      <c r="K35" s="75" t="str">
        <f>TRIM(IF(COUNTIF($K$117:$Q$117,6)&gt;=1,"6",""))</f>
        <v>6</v>
      </c>
      <c r="L35" s="153" t="str">
        <f>IF(K35="","",VLOOKUP(INT(K35),ELEMEN!A16:C20,3,FALSE))</f>
        <v>Mendapatkan Berkat KEBERUNTUNGAN/KEBIJAKSANAAN (Makan / Kekayaan)</v>
      </c>
      <c r="M35" s="153"/>
      <c r="N35" s="153"/>
      <c r="O35" s="153"/>
      <c r="P35" s="153"/>
      <c r="Q35" s="153"/>
      <c r="R35" s="153"/>
      <c r="S35" s="153"/>
      <c r="T35" s="153"/>
      <c r="U35" s="153"/>
      <c r="V35" s="153"/>
      <c r="W35" s="153"/>
      <c r="X35" s="153"/>
      <c r="Y35" s="154"/>
      <c r="Z35" s="135"/>
      <c r="AA35" s="21"/>
      <c r="AB35" s="21"/>
      <c r="AC35" s="21"/>
      <c r="AD35" s="21"/>
      <c r="AE35" s="21"/>
    </row>
    <row r="36" spans="5:31" ht="21" customHeight="1" x14ac:dyDescent="0.3">
      <c r="K36" s="75" t="str">
        <f>TRIM(IF(COUNTIF($K$117:$Q$117,7)&gt;=1,"7",""))</f>
        <v/>
      </c>
      <c r="L36" s="153" t="str">
        <f>IF(K36="","",VLOOKUP(INT(K36),ELEMEN!A17:C21,3,FALSE))</f>
        <v/>
      </c>
      <c r="M36" s="153"/>
      <c r="N36" s="153"/>
      <c r="O36" s="153"/>
      <c r="P36" s="153"/>
      <c r="Q36" s="153"/>
      <c r="R36" s="153"/>
      <c r="S36" s="153"/>
      <c r="T36" s="153"/>
      <c r="U36" s="153"/>
      <c r="V36" s="153"/>
      <c r="W36" s="153"/>
      <c r="X36" s="153"/>
      <c r="Y36" s="154"/>
      <c r="Z36" s="135"/>
      <c r="AA36" s="21"/>
      <c r="AB36" s="21"/>
      <c r="AC36" s="21"/>
      <c r="AD36" s="21"/>
      <c r="AE36" s="21"/>
    </row>
    <row r="37" spans="5:31" ht="21" customHeight="1" thickBot="1" x14ac:dyDescent="0.35">
      <c r="K37" s="76" t="str">
        <f>TRIM(IF(COUNTIF($K$117:$Q$117,9)&gt;=1,"9",""))</f>
        <v/>
      </c>
      <c r="L37" s="196" t="str">
        <f>IF(K37="","",VLOOKUP(INT(K37),ELEMEN!A18:C22,3,FALSE))</f>
        <v/>
      </c>
      <c r="M37" s="196"/>
      <c r="N37" s="196"/>
      <c r="O37" s="196"/>
      <c r="P37" s="196"/>
      <c r="Q37" s="196"/>
      <c r="R37" s="196"/>
      <c r="S37" s="196"/>
      <c r="T37" s="196"/>
      <c r="U37" s="196"/>
      <c r="V37" s="196"/>
      <c r="W37" s="196"/>
      <c r="X37" s="196"/>
      <c r="Y37" s="197"/>
      <c r="Z37" s="135"/>
      <c r="AA37" s="21"/>
      <c r="AB37" s="21"/>
      <c r="AC37" s="21"/>
      <c r="AD37" s="21"/>
      <c r="AE37" s="21"/>
    </row>
    <row r="38" spans="5:31" ht="21" customHeight="1" thickBot="1" x14ac:dyDescent="0.35">
      <c r="K38" s="34"/>
      <c r="L38" s="33"/>
      <c r="M38" s="21"/>
      <c r="N38" s="21"/>
      <c r="O38" s="21"/>
      <c r="P38" s="21"/>
      <c r="Q38" s="21"/>
      <c r="R38" s="21"/>
      <c r="S38" s="21"/>
      <c r="T38" s="21"/>
      <c r="U38" s="21"/>
      <c r="V38" s="21"/>
      <c r="W38" s="21"/>
      <c r="X38" s="21"/>
      <c r="Y38" s="21"/>
      <c r="Z38" s="21"/>
      <c r="AA38" s="21"/>
      <c r="AB38" s="21"/>
      <c r="AC38" s="21"/>
      <c r="AD38" s="21"/>
      <c r="AE38" s="21"/>
    </row>
    <row r="39" spans="5:31" ht="21" customHeight="1" x14ac:dyDescent="0.3">
      <c r="E39" s="20" t="s">
        <v>542</v>
      </c>
      <c r="K39" s="222" t="s">
        <v>543</v>
      </c>
      <c r="L39" s="223"/>
      <c r="M39" s="223"/>
      <c r="N39" s="223"/>
      <c r="O39" s="224"/>
      <c r="P39" s="225" t="e">
        <f>VLOOKUP($F$6,SHIO!$J$5:$N$16,2,FALSE)</f>
        <v>#N/A</v>
      </c>
      <c r="Q39" s="226"/>
      <c r="R39" s="226"/>
      <c r="S39" s="226"/>
      <c r="T39" s="226"/>
      <c r="U39" s="226"/>
      <c r="V39" s="226"/>
      <c r="W39" s="226"/>
      <c r="X39" s="226"/>
      <c r="Y39" s="227"/>
      <c r="Z39" s="132"/>
      <c r="AA39" s="21"/>
      <c r="AB39" s="21"/>
      <c r="AC39" s="21"/>
      <c r="AD39" s="21"/>
      <c r="AE39" s="21"/>
    </row>
    <row r="40" spans="5:31" ht="21" customHeight="1" x14ac:dyDescent="0.3">
      <c r="K40" s="220" t="s">
        <v>547</v>
      </c>
      <c r="L40" s="221"/>
      <c r="M40" s="221"/>
      <c r="N40" s="221"/>
      <c r="O40" s="221"/>
      <c r="P40" s="228" t="e">
        <f>VLOOKUP($F$6,SHIO!$J$5:$N$16,3,FALSE)</f>
        <v>#N/A</v>
      </c>
      <c r="Q40" s="229"/>
      <c r="R40" s="229"/>
      <c r="S40" s="229"/>
      <c r="T40" s="229"/>
      <c r="U40" s="229"/>
      <c r="V40" s="229"/>
      <c r="W40" s="229"/>
      <c r="X40" s="229"/>
      <c r="Y40" s="230"/>
      <c r="Z40" s="132"/>
      <c r="AA40" s="21"/>
      <c r="AB40" s="21"/>
      <c r="AC40" s="21"/>
      <c r="AD40" s="21"/>
      <c r="AE40" s="21"/>
    </row>
    <row r="41" spans="5:31" ht="21" customHeight="1" thickBot="1" x14ac:dyDescent="0.35">
      <c r="K41" s="217" t="str">
        <f>IF(OR(ISNUMBER(SEARCH("Babi",$F$6)),ISNUMBER(SEARCH("Macan",$F$6)),ISNUMBER(SEARCH("Ular",$F$6)),ISNUMBER(SEARCH("Monyet",$F$6))),"BERTENTANGAN/MELUKAI",IF(OR(ISNUMBER(SEARCH("Kerbau",$F$6)),ISNUMBER(SEARCH("Naga",$F6)),ISNUMBER(SEARCH("Kambing",$F$6)),ISNUMBER(SEARCH("Anjing",$F$6))),"TERJEBAK FISIK &amp; MENTAL","4 JODOH BESAR"))</f>
        <v>4 JODOH BESAR</v>
      </c>
      <c r="L41" s="218"/>
      <c r="M41" s="218"/>
      <c r="N41" s="218"/>
      <c r="O41" s="219"/>
      <c r="P41" s="231" t="e">
        <f>VLOOKUP($F$6,SHIO!$J$5:$N$16,4,FALSE)</f>
        <v>#N/A</v>
      </c>
      <c r="Q41" s="232"/>
      <c r="R41" s="232"/>
      <c r="S41" s="232"/>
      <c r="T41" s="232"/>
      <c r="U41" s="232"/>
      <c r="V41" s="232"/>
      <c r="W41" s="232"/>
      <c r="X41" s="232"/>
      <c r="Y41" s="233"/>
      <c r="Z41" s="133"/>
      <c r="AA41" s="21"/>
      <c r="AB41" s="21"/>
      <c r="AC41" s="21"/>
      <c r="AD41" s="21"/>
      <c r="AE41" s="21"/>
    </row>
    <row r="42" spans="5:31" ht="21" customHeight="1" x14ac:dyDescent="0.3">
      <c r="K42" s="34"/>
      <c r="L42" s="33"/>
      <c r="M42" s="21"/>
      <c r="N42" s="21"/>
      <c r="O42" s="21"/>
      <c r="P42" s="21"/>
      <c r="Q42" s="21"/>
      <c r="R42" s="21"/>
      <c r="S42" s="21"/>
      <c r="T42" s="21"/>
      <c r="U42" s="21"/>
      <c r="V42" s="21"/>
      <c r="W42" s="21"/>
      <c r="X42" s="21"/>
      <c r="Y42" s="21"/>
      <c r="Z42" s="21"/>
      <c r="AA42" s="21"/>
      <c r="AB42" s="21"/>
      <c r="AC42" s="21"/>
      <c r="AD42" s="21"/>
      <c r="AE42" s="21"/>
    </row>
    <row r="43" spans="5:31" ht="21" customHeight="1" x14ac:dyDescent="0.3">
      <c r="K43" s="182" t="s">
        <v>110</v>
      </c>
      <c r="L43" s="182"/>
      <c r="M43" s="182"/>
      <c r="N43" s="182"/>
      <c r="O43" s="182"/>
      <c r="P43" s="181" t="str">
        <f>VLOOKUP($N$19,ELEMEN!A$3:L$11,10,FALSE)</f>
        <v>MERAH, MERAH JAMBU, UNGU, ORANGE</v>
      </c>
      <c r="Q43" s="181"/>
      <c r="R43" s="181"/>
      <c r="S43" s="181"/>
      <c r="T43" s="181"/>
      <c r="U43" s="181"/>
      <c r="V43" s="21"/>
      <c r="W43" s="21"/>
      <c r="X43" s="21"/>
      <c r="Y43" s="21"/>
      <c r="Z43" s="21"/>
      <c r="AA43" s="21"/>
      <c r="AB43" s="21"/>
      <c r="AC43" s="21"/>
      <c r="AD43" s="21"/>
      <c r="AE43" s="21"/>
    </row>
    <row r="44" spans="5:31" ht="21" customHeight="1" x14ac:dyDescent="0.3">
      <c r="K44" s="183" t="s">
        <v>111</v>
      </c>
      <c r="L44" s="184"/>
      <c r="M44" s="184"/>
      <c r="N44" s="184"/>
      <c r="O44" s="185"/>
      <c r="P44" s="178" t="str">
        <f>VLOOKUP($N$19,ELEMEN!A$3:L$11,11,FALSE)</f>
        <v>HIJAU, CYAN</v>
      </c>
      <c r="Q44" s="179"/>
      <c r="R44" s="179"/>
      <c r="S44" s="179"/>
      <c r="T44" s="179"/>
      <c r="U44" s="180"/>
      <c r="V44" s="21"/>
      <c r="W44" s="21"/>
      <c r="X44" s="21"/>
      <c r="Y44" s="21"/>
      <c r="Z44" s="21"/>
      <c r="AA44" s="21"/>
      <c r="AB44" s="21"/>
      <c r="AC44" s="21"/>
      <c r="AD44" s="21"/>
      <c r="AE44" s="21"/>
    </row>
    <row r="45" spans="5:31" ht="21" customHeight="1" x14ac:dyDescent="0.3">
      <c r="K45" s="183" t="s">
        <v>112</v>
      </c>
      <c r="L45" s="184"/>
      <c r="M45" s="184"/>
      <c r="N45" s="184"/>
      <c r="O45" s="185"/>
      <c r="P45" s="175" t="str">
        <f>VLOOKUP($N$19,ELEMEN!A$3:L$11,12,FALSE)</f>
        <v>PUTIH, EMAS, APRKOT,PERAK</v>
      </c>
      <c r="Q45" s="176"/>
      <c r="R45" s="176"/>
      <c r="S45" s="176"/>
      <c r="T45" s="176"/>
      <c r="U45" s="177"/>
      <c r="V45" s="21"/>
      <c r="W45" s="21"/>
      <c r="X45" s="21"/>
      <c r="Y45" s="21"/>
      <c r="Z45" s="21"/>
      <c r="AA45" s="21"/>
      <c r="AB45" s="21"/>
      <c r="AC45" s="21"/>
      <c r="AD45" s="21"/>
      <c r="AE45" s="21"/>
    </row>
    <row r="46" spans="5:31" ht="21" customHeight="1" x14ac:dyDescent="0.3">
      <c r="F46" s="33"/>
      <c r="K46" s="21"/>
      <c r="L46" s="21"/>
      <c r="M46" s="21"/>
      <c r="N46" s="21"/>
      <c r="O46" s="21"/>
      <c r="P46" s="21"/>
      <c r="Q46" s="21"/>
      <c r="R46" s="21"/>
      <c r="S46" s="21"/>
      <c r="T46" s="21"/>
      <c r="U46" s="21"/>
      <c r="V46" s="21"/>
      <c r="W46" s="21"/>
      <c r="X46" s="21"/>
      <c r="Y46" s="21"/>
      <c r="Z46" s="21"/>
      <c r="AA46" s="21"/>
      <c r="AB46" s="21"/>
      <c r="AC46" s="21"/>
      <c r="AD46" s="21"/>
      <c r="AE46" s="21"/>
    </row>
    <row r="47" spans="5:31" ht="21" customHeight="1" thickBot="1" x14ac:dyDescent="0.45">
      <c r="E47" s="19"/>
      <c r="K47" s="174" t="s">
        <v>114</v>
      </c>
      <c r="L47" s="174"/>
      <c r="M47" s="174"/>
      <c r="N47" s="174"/>
      <c r="O47" s="174"/>
      <c r="P47" s="174"/>
      <c r="Q47" s="174"/>
      <c r="R47" s="174"/>
      <c r="S47" s="174"/>
      <c r="T47" s="174"/>
      <c r="U47" s="21"/>
      <c r="V47" s="21"/>
      <c r="W47" s="21"/>
      <c r="X47" s="21"/>
      <c r="Y47" s="21"/>
      <c r="Z47" s="21"/>
      <c r="AA47" s="21"/>
      <c r="AB47" s="21"/>
      <c r="AC47" s="21"/>
      <c r="AD47" s="21"/>
      <c r="AE47" s="21"/>
    </row>
    <row r="48" spans="5:31" ht="21" customHeight="1" thickBot="1" x14ac:dyDescent="0.35">
      <c r="K48" s="210" t="str">
        <f>VLOOKUP($Q$12,ELEMEN!A3:B11,2,FALSE)</f>
        <v>API</v>
      </c>
      <c r="L48" s="156"/>
      <c r="M48" s="155" t="str">
        <f>IF(K48="KAYU", "API",IF(K48="API","TANAH",IF(K48="TANAH","LOGAM",IF(K48="LOGAM","AIR",IF(K48="AIR","KAYU")))))</f>
        <v>TANAH</v>
      </c>
      <c r="N48" s="156"/>
      <c r="O48" s="155" t="str">
        <f>IF(M48="KAYU", "API",IF(M48="API","TANAH",IF(M48="TANAH","LOGAM",IF(M48="LOGAM","AIR",IF(M48="AIR","KAYU")))))</f>
        <v>LOGAM</v>
      </c>
      <c r="P48" s="156"/>
      <c r="Q48" s="155" t="str">
        <f>IF(O48="KAYU", "API",IF(O48="API","TANAH",IF(O48="TANAH","LOGAM",IF(O48="LOGAM","AIR",IF(O48="AIR","KAYU")))))</f>
        <v>AIR</v>
      </c>
      <c r="R48" s="156"/>
      <c r="S48" s="155" t="str">
        <f>IF(Q48="KAYU", "API",IF(Q48="API","TANAH",IF(Q48="TANAH","LOGAM",IF(Q48="LOGAM","AIR",IF(Q48="AIR","KAYU")))))</f>
        <v>KAYU</v>
      </c>
      <c r="T48" s="157"/>
      <c r="V48" s="21"/>
      <c r="W48" s="21"/>
      <c r="X48" s="21"/>
      <c r="Y48" s="21"/>
      <c r="Z48" s="21"/>
      <c r="AA48" s="21"/>
      <c r="AB48" s="21"/>
      <c r="AC48" s="21"/>
      <c r="AD48" s="21"/>
      <c r="AE48" s="21"/>
    </row>
    <row r="49" spans="3:31" ht="21" customHeight="1" thickTop="1" x14ac:dyDescent="0.35">
      <c r="K49" s="211">
        <f>IF(K48="KAYU",COUNTIF($K$119:$AA$119,4)+COUNTIF($K$119:$AA$119,9),IF(K48="API",COUNTIF($K$119:$AA$119,3)+COUNTIF($K$119:$AA$119,8),IF(K48="TANAH",COUNTIF($K$119:$AA$119,5),IF(K48="LOGAM",COUNTIF($K$119:$AA$119,1)+COUNTIF($K$119:$AA$119,6),IF(K48="AIR",COUNTIF($K$119:$AA$119,2)+COUNTIF($K$119:$AA$119,7))))))</f>
        <v>4</v>
      </c>
      <c r="L49" s="209"/>
      <c r="M49" s="207">
        <f>IF(M48="KAYU",COUNTIF($K$119:$AA$119,4)+COUNTIF($K$119:$AA$119,9),IF(M48="API",COUNTIF($K$119:$AA$119,3)+COUNTIF($K$119:$AA$119,8),IF(M48="TANAH",COUNTIF($K$119:$AA$119,5),IF(M48="LOGAM",COUNTIF($K$119:$AA$119,1)+COUNTIF($K$119:$AA$119,6),IF(M48="AIR",COUNTIF($K$119:$AA$119,2)+COUNTIF($K$119:$AA$119,7))))))</f>
        <v>1</v>
      </c>
      <c r="N49" s="209"/>
      <c r="O49" s="207">
        <f>IF(O48="KAYU",COUNTIF($K$119:$AA$119,4)+COUNTIF($K$119:$AA$119,9),IF(O48="API",COUNTIF($K$119:$AA$119,3)+COUNTIF($K$119:$AA$119,8),IF(O48="TANAH",COUNTIF($K$119:$AA$119,5),IF(O48="LOGAM",COUNTIF($K$119:$AA$119,1)+COUNTIF($K$119:$AA$119,6),IF(O48="AIR",COUNTIF($K$119:$AA$119,2)+COUNTIF($K$119:$AA$119,7))))))</f>
        <v>7</v>
      </c>
      <c r="P49" s="209"/>
      <c r="Q49" s="207">
        <f>IF(Q48="KAYU",COUNTIF($K$119:$AA$119,4)+COUNTIF($K$119:$AA$119,9),IF(Q48="API",COUNTIF($K$119:$AA$119,3)+COUNTIF($K$119:$AA$119,8),IF(Q48="TANAH",COUNTIF($K$119:$AA$119,5),IF(Q48="LOGAM",COUNTIF($K$119:$AA$119,1)+COUNTIF($K$119:$AA$119,6),IF(Q48="AIR",COUNTIF($K$119:$AA$119,2)+COUNTIF($K$119:$AA$119,7))))))</f>
        <v>2</v>
      </c>
      <c r="R49" s="209"/>
      <c r="S49" s="207">
        <f>IF(S48="KAYU",COUNTIF($K$119:$AA$119,4)+COUNTIF($K$119:$AA$119,9),IF(S48="API",COUNTIF($K$119:$AA$119,3)+COUNTIF($K$119:$AA$119,8),IF(S48="TANAH",COUNTIF($K$119:$AA$119,5),IF(S48="LOGAM",COUNTIF($K$119:$AA$119,1)+COUNTIF($K$119:$AA$119,6),IF(S48="AIR",COUNTIF($K$119:$AA$119,2)+COUNTIF($K$119:$AA$119,7))))))</f>
        <v>2</v>
      </c>
      <c r="T49" s="208"/>
      <c r="U49" s="29"/>
      <c r="V49" s="21"/>
      <c r="W49" s="21"/>
      <c r="X49" s="21"/>
      <c r="Y49" s="21"/>
      <c r="Z49" s="21"/>
      <c r="AA49" s="21"/>
      <c r="AB49" s="21"/>
      <c r="AC49" s="21"/>
      <c r="AD49" s="21"/>
      <c r="AE49" s="21"/>
    </row>
    <row r="50" spans="3:31" ht="21" customHeight="1" x14ac:dyDescent="0.3">
      <c r="D50" s="27"/>
      <c r="K50" s="144" t="s">
        <v>85</v>
      </c>
      <c r="L50" s="145"/>
      <c r="M50" s="171" t="s">
        <v>87</v>
      </c>
      <c r="N50" s="172"/>
      <c r="O50" s="171" t="s">
        <v>89</v>
      </c>
      <c r="P50" s="172"/>
      <c r="Q50" s="171" t="s">
        <v>91</v>
      </c>
      <c r="R50" s="172"/>
      <c r="S50" s="171" t="s">
        <v>94</v>
      </c>
      <c r="T50" s="206"/>
      <c r="U50" s="21"/>
      <c r="V50" s="21"/>
      <c r="W50" s="21"/>
      <c r="X50" s="21"/>
      <c r="Y50" s="21"/>
      <c r="Z50" s="21"/>
      <c r="AA50" s="21"/>
      <c r="AB50" s="21"/>
      <c r="AC50" s="21"/>
      <c r="AD50" s="21"/>
      <c r="AE50" s="21"/>
    </row>
    <row r="51" spans="3:31" ht="21.6" thickBot="1" x14ac:dyDescent="0.35">
      <c r="D51" s="27"/>
      <c r="K51" s="234" t="s">
        <v>86</v>
      </c>
      <c r="L51" s="235"/>
      <c r="M51" s="236" t="s">
        <v>88</v>
      </c>
      <c r="N51" s="237"/>
      <c r="O51" s="236" t="s">
        <v>90</v>
      </c>
      <c r="P51" s="237"/>
      <c r="Q51" s="236" t="s">
        <v>92</v>
      </c>
      <c r="R51" s="237"/>
      <c r="S51" s="236" t="s">
        <v>93</v>
      </c>
      <c r="T51" s="238"/>
      <c r="U51" s="21"/>
      <c r="V51" s="21"/>
      <c r="W51" s="21"/>
      <c r="X51" s="21"/>
      <c r="Y51" s="21"/>
      <c r="Z51" s="21"/>
      <c r="AA51" s="21"/>
      <c r="AB51" s="21"/>
      <c r="AC51" s="21"/>
      <c r="AD51" s="21"/>
      <c r="AE51" s="21"/>
    </row>
    <row r="52" spans="3:31" ht="21" customHeight="1" x14ac:dyDescent="0.3">
      <c r="D52" s="27"/>
      <c r="T52" s="21"/>
      <c r="U52" s="21"/>
      <c r="V52" s="21"/>
      <c r="W52" s="21"/>
      <c r="X52" s="21"/>
      <c r="Y52" s="21"/>
      <c r="Z52" s="21"/>
      <c r="AA52" s="21"/>
      <c r="AB52" s="21"/>
      <c r="AC52" s="21"/>
      <c r="AD52" s="21"/>
      <c r="AE52" s="21"/>
    </row>
    <row r="53" spans="3:31" ht="18" x14ac:dyDescent="0.35">
      <c r="C53" s="65" t="s">
        <v>585</v>
      </c>
      <c r="D53" s="21"/>
      <c r="E53" s="21"/>
      <c r="F53" s="21"/>
      <c r="G53" s="21"/>
      <c r="H53" s="21"/>
      <c r="I53" s="21"/>
      <c r="J53" s="21"/>
      <c r="W53" s="21"/>
      <c r="X53" s="21"/>
      <c r="Y53" s="21"/>
      <c r="Z53" s="21"/>
      <c r="AA53" s="21"/>
      <c r="AB53" s="21"/>
      <c r="AC53" s="21"/>
      <c r="AD53" s="21"/>
      <c r="AE53" s="21"/>
    </row>
    <row r="54" spans="3:31" ht="21" customHeight="1" x14ac:dyDescent="0.35">
      <c r="C54" s="241" t="s">
        <v>580</v>
      </c>
      <c r="D54" s="242"/>
      <c r="E54" s="242"/>
      <c r="F54" s="242"/>
      <c r="G54" s="242"/>
      <c r="H54" s="242"/>
      <c r="I54" s="242"/>
      <c r="J54" s="243"/>
      <c r="K54" s="244" t="str">
        <f>IF(ISNUMBER(SEARCH($B$7,'81SET'!$D$2)),$B$7,"")&amp;" "&amp;IF(ISNUMBER(SEARCH($B$8,'81SET'!$D$2)),$B$8,"")&amp;" "&amp;IF(ISNUMBER(SEARCH($B$9,'81SET'!$D$2)),$B$9,"")&amp;" "&amp;IF(ISNUMBER(SEARCH($B$10,'81SET'!$D$2)),$B$10,"")&amp;" "&amp;IF(ISNUMBER(SEARCH($B$11,'81SET'!$D$2)),$B$11,"")</f>
        <v xml:space="preserve">  628  281</v>
      </c>
      <c r="L54" s="245"/>
      <c r="M54" s="245"/>
      <c r="N54" s="245"/>
      <c r="O54" s="246"/>
      <c r="T54" s="21"/>
      <c r="U54" s="21"/>
      <c r="V54" s="21"/>
      <c r="W54" s="21"/>
      <c r="X54" s="21"/>
      <c r="Y54" s="21"/>
      <c r="Z54" s="21"/>
      <c r="AA54" s="21"/>
      <c r="AB54" s="21"/>
      <c r="AC54" s="21"/>
      <c r="AD54" s="21"/>
      <c r="AE54" s="21"/>
    </row>
    <row r="55" spans="3:31" ht="21" customHeight="1" x14ac:dyDescent="0.35">
      <c r="C55" s="118" t="s">
        <v>31</v>
      </c>
      <c r="D55" s="240" t="s">
        <v>583</v>
      </c>
      <c r="E55" s="240"/>
      <c r="F55" s="240"/>
      <c r="G55" s="240"/>
      <c r="H55" s="240"/>
      <c r="I55" s="240"/>
      <c r="J55" s="240"/>
      <c r="K55" s="247" t="str">
        <f>IF(ISNUMBER(SEARCH($B$13,'81SET'!$D$3)),"(K1)-"&amp;$B$13,"")&amp;" "&amp;IF(ISNUMBER(SEARCH($B$14,'81SET'!$D$3)),"(K2)-"&amp;$B$14,"")</f>
        <v xml:space="preserve"> </v>
      </c>
      <c r="L55" s="247"/>
      <c r="M55" s="247"/>
      <c r="N55" s="247"/>
      <c r="O55" s="247"/>
      <c r="T55" s="21"/>
      <c r="U55" s="21"/>
      <c r="V55" s="21"/>
      <c r="W55" s="21"/>
      <c r="X55" s="21"/>
      <c r="Y55" s="21"/>
      <c r="Z55" s="21"/>
      <c r="AA55" s="21"/>
      <c r="AB55" s="21"/>
      <c r="AC55" s="21"/>
      <c r="AD55" s="21"/>
      <c r="AE55" s="21"/>
    </row>
    <row r="56" spans="3:31" ht="21" customHeight="1" x14ac:dyDescent="0.35">
      <c r="C56" s="116" t="s">
        <v>31</v>
      </c>
      <c r="D56" s="249" t="s">
        <v>584</v>
      </c>
      <c r="E56" s="249"/>
      <c r="F56" s="249"/>
      <c r="G56" s="249"/>
      <c r="H56" s="249"/>
      <c r="I56" s="249"/>
      <c r="J56" s="249"/>
      <c r="K56" s="248" t="str">
        <f>IF(ISNUMBER(SEARCH($B$12,'81SET'!$D$4)),"(AK)-"&amp;$B$12,"")&amp;" "&amp;IF(ISNUMBER(SEARCH($B$16,'81SET'!$D$4)),"(N1)-"&amp;$B$16,"")&amp;" "&amp;IF(ISNUMBER(SEARCH($B$17,'81SET'!$D$4)),"(N2)-"&amp;$B$17,"")</f>
        <v xml:space="preserve"> (N1)-123 (N2)-123</v>
      </c>
      <c r="L56" s="248"/>
      <c r="M56" s="248"/>
      <c r="N56" s="248"/>
      <c r="O56" s="248"/>
      <c r="T56" s="21"/>
      <c r="U56" s="21"/>
      <c r="V56" s="21"/>
      <c r="W56" s="21"/>
      <c r="X56" s="21"/>
      <c r="Y56" s="21"/>
      <c r="Z56" s="21"/>
      <c r="AA56" s="21"/>
      <c r="AB56" s="21"/>
      <c r="AC56" s="21"/>
      <c r="AD56" s="21"/>
      <c r="AE56" s="21"/>
    </row>
    <row r="57" spans="3:31" ht="21" customHeight="1" x14ac:dyDescent="0.35">
      <c r="C57" s="118" t="s">
        <v>31</v>
      </c>
      <c r="D57" s="240" t="s">
        <v>586</v>
      </c>
      <c r="E57" s="240"/>
      <c r="F57" s="240"/>
      <c r="G57" s="240"/>
      <c r="H57" s="240"/>
      <c r="I57" s="240"/>
      <c r="J57" s="240"/>
      <c r="K57" s="247" t="str">
        <f>IF(ISNUMBER(SEARCH($B$10,'81SET'!$D$5)),"(H1)-"&amp;$B$10,"")&amp;" "&amp;IF(ISNUMBER(SEARCH($B$11,'81SET'!$D$5)),"(H2)-"&amp;$B$11,"")&amp;" "&amp;IF(ISNUMBER(SEARCH($B$18,'81SET'!$D$5)),"(MD)-"&amp;$B$18,"")</f>
        <v xml:space="preserve">  </v>
      </c>
      <c r="L57" s="247"/>
      <c r="M57" s="247"/>
      <c r="N57" s="247"/>
      <c r="O57" s="247"/>
      <c r="T57" s="21"/>
      <c r="U57" s="21"/>
      <c r="V57" s="21"/>
      <c r="W57" s="21"/>
      <c r="X57" s="21"/>
      <c r="Y57" s="21"/>
      <c r="Z57" s="21"/>
      <c r="AA57" s="21"/>
      <c r="AB57" s="21"/>
      <c r="AC57" s="21"/>
      <c r="AD57" s="21"/>
      <c r="AE57" s="21"/>
    </row>
    <row r="58" spans="3:31" ht="21" customHeight="1" x14ac:dyDescent="0.35">
      <c r="C58" s="116" t="s">
        <v>31</v>
      </c>
      <c r="D58" s="249" t="s">
        <v>568</v>
      </c>
      <c r="E58" s="249"/>
      <c r="F58" s="249"/>
      <c r="G58" s="249"/>
      <c r="H58" s="249"/>
      <c r="I58" s="249"/>
      <c r="J58" s="249"/>
      <c r="K58" s="248" t="str">
        <f>IF(ISNUMBER(SEARCH($B$10,'81SET'!$D$6)),"(H1)-"&amp;$B$10,"")&amp;" "&amp;IF(ISNUMBER(SEARCH($B$11,'81SET'!$D$6)),"(H2)-"&amp;$B$11,"")&amp;" "&amp;IF(ISNUMBER(SEARCH($B$13,'81SET'!$D$6)),"(K1)-"&amp;$B$13,"")&amp;" "&amp;IF(ISNUMBER(SEARCH($B$14,'81SET'!$D$6)),"(K2)-"&amp;$B$14,"")&amp;" "&amp;IF(ISNUMBER(SEARCH($B$15,'81SET'!$D$6)),"(TM)-"&amp;$B$15,"")&amp;" "&amp;IF(ISNUMBER(SEARCH($B$18,'81SET'!$D$6)),"(MD)-"&amp;$B$18,"")</f>
        <v xml:space="preserve">     </v>
      </c>
      <c r="L58" s="248"/>
      <c r="M58" s="248"/>
      <c r="N58" s="248"/>
      <c r="O58" s="248"/>
      <c r="T58" s="21"/>
      <c r="U58" s="21"/>
      <c r="V58" s="21"/>
      <c r="W58" s="21"/>
      <c r="X58" s="21"/>
      <c r="Y58" s="21"/>
      <c r="Z58" s="21"/>
      <c r="AA58" s="21"/>
      <c r="AB58" s="21"/>
      <c r="AC58" s="21"/>
      <c r="AD58" s="21"/>
      <c r="AE58" s="21"/>
    </row>
    <row r="59" spans="3:31" ht="21" customHeight="1" x14ac:dyDescent="0.35">
      <c r="C59" s="118" t="s">
        <v>31</v>
      </c>
      <c r="D59" s="240" t="s">
        <v>571</v>
      </c>
      <c r="E59" s="240"/>
      <c r="F59" s="240"/>
      <c r="G59" s="240"/>
      <c r="H59" s="240"/>
      <c r="I59" s="240"/>
      <c r="J59" s="240"/>
      <c r="K59" s="247" t="str">
        <f>IF(ISNUMBER(SEARCH($B$10,'81SET'!$D$7)),"(H1)-"&amp;$B$10,"")&amp;" "&amp;IF(ISNUMBER(SEARCH($B$11,'81SET'!$D$7)),"(H2)-"&amp;$B$11,"")&amp;" "&amp;IF(ISNUMBER(SEARCH($B$13,'81SET'!$D$7)),"(K1)-"&amp;$B$13,"")&amp;" "&amp;IF(ISNUMBER(SEARCH($B$14,'81SET'!$D$7)),"(K2)-"&amp;$B$14,"")&amp;" "&amp;IF(ISNUMBER(SEARCH($B$18,'81SET'!$D$7)),"(MD)-"&amp;$B$18,"")</f>
        <v xml:space="preserve">    (MD)-336</v>
      </c>
      <c r="L59" s="247"/>
      <c r="M59" s="247"/>
      <c r="N59" s="247"/>
      <c r="O59" s="247"/>
      <c r="T59" s="21"/>
      <c r="U59" s="21"/>
      <c r="V59" s="21"/>
      <c r="W59" s="21"/>
      <c r="X59" s="21"/>
      <c r="Y59" s="21"/>
      <c r="Z59" s="21"/>
      <c r="AA59" s="21"/>
      <c r="AB59" s="21"/>
      <c r="AC59" s="21"/>
      <c r="AD59" s="21"/>
      <c r="AE59" s="21"/>
    </row>
    <row r="60" spans="3:31" ht="21" customHeight="1" x14ac:dyDescent="0.3">
      <c r="U60" s="21"/>
      <c r="V60" s="21"/>
      <c r="W60" s="21"/>
      <c r="X60" s="21"/>
      <c r="Y60" s="21"/>
      <c r="Z60" s="21"/>
      <c r="AA60" s="21"/>
      <c r="AB60" s="21"/>
      <c r="AC60" s="21"/>
      <c r="AD60" s="21"/>
      <c r="AE60" s="21"/>
    </row>
    <row r="61" spans="3:31" ht="21" customHeight="1" x14ac:dyDescent="0.3">
      <c r="D61" s="27"/>
      <c r="T61" s="143" t="s">
        <v>115</v>
      </c>
      <c r="U61" s="143"/>
      <c r="V61" s="143"/>
      <c r="W61" s="143"/>
      <c r="X61" s="143"/>
      <c r="Y61" s="143"/>
      <c r="Z61" s="129"/>
      <c r="AA61" s="21"/>
      <c r="AB61" s="21"/>
      <c r="AC61" s="21"/>
      <c r="AD61" s="21"/>
      <c r="AE61" s="21"/>
    </row>
    <row r="62" spans="3:31" ht="21" customHeight="1" x14ac:dyDescent="0.3">
      <c r="D62" s="27"/>
      <c r="T62" s="21"/>
      <c r="U62" s="21"/>
      <c r="V62" s="21"/>
      <c r="W62" s="21"/>
      <c r="X62" s="21"/>
      <c r="Y62" s="21"/>
      <c r="Z62" s="21"/>
      <c r="AA62" s="21"/>
      <c r="AB62" s="21"/>
      <c r="AC62" s="21"/>
      <c r="AD62" s="21"/>
      <c r="AE62" s="21"/>
    </row>
    <row r="63" spans="3:31" ht="21" customHeight="1" x14ac:dyDescent="0.3">
      <c r="D63" s="50"/>
      <c r="T63" s="21"/>
      <c r="U63" s="21"/>
      <c r="V63" s="21"/>
      <c r="W63" s="21"/>
      <c r="X63" s="21"/>
      <c r="Y63" s="21"/>
      <c r="Z63" s="21"/>
      <c r="AA63" s="21"/>
      <c r="AB63" s="21"/>
      <c r="AC63" s="21"/>
      <c r="AD63" s="21"/>
      <c r="AE63" s="21"/>
    </row>
    <row r="64" spans="3:31" ht="21" customHeight="1" thickBot="1" x14ac:dyDescent="0.35">
      <c r="D64" s="27"/>
      <c r="T64" s="51"/>
      <c r="U64" s="51"/>
      <c r="V64" s="51"/>
      <c r="W64" s="51"/>
      <c r="X64" s="51"/>
      <c r="Y64" s="51"/>
      <c r="Z64" s="21"/>
      <c r="AA64" s="21"/>
      <c r="AB64" s="21"/>
      <c r="AC64" s="21"/>
      <c r="AD64" s="21"/>
      <c r="AE64" s="21"/>
    </row>
    <row r="65" spans="3:31" ht="21" customHeight="1" thickTop="1" x14ac:dyDescent="0.3">
      <c r="D65" s="27"/>
      <c r="T65" s="214" t="s">
        <v>119</v>
      </c>
      <c r="U65" s="214"/>
      <c r="V65" s="214"/>
      <c r="W65" s="214"/>
      <c r="X65" s="214"/>
      <c r="Y65" s="214"/>
      <c r="Z65" s="1"/>
      <c r="AA65" s="21"/>
      <c r="AB65" s="21"/>
      <c r="AC65" s="21"/>
      <c r="AD65" s="21"/>
      <c r="AE65" s="21"/>
    </row>
    <row r="66" spans="3:31" ht="21" customHeight="1" x14ac:dyDescent="0.3">
      <c r="D66" s="27"/>
      <c r="S66" s="1"/>
      <c r="T66" s="1"/>
      <c r="U66" s="1"/>
      <c r="V66" s="1"/>
      <c r="W66" s="1"/>
      <c r="X66" s="21"/>
      <c r="Y66" s="21"/>
      <c r="Z66" s="21"/>
      <c r="AA66" s="21"/>
      <c r="AB66" s="21"/>
      <c r="AC66" s="21"/>
      <c r="AD66" s="21"/>
      <c r="AE66" s="21"/>
    </row>
    <row r="67" spans="3:31" ht="21" customHeight="1" x14ac:dyDescent="0.3">
      <c r="C67" s="239" t="s">
        <v>116</v>
      </c>
      <c r="D67" s="239"/>
      <c r="E67" s="239"/>
      <c r="F67" s="239"/>
      <c r="G67" s="239"/>
      <c r="H67" s="239"/>
      <c r="I67" s="239"/>
      <c r="J67" s="239"/>
      <c r="T67" s="21"/>
      <c r="U67" s="21"/>
      <c r="V67" s="21"/>
      <c r="W67" s="21"/>
      <c r="X67" s="21"/>
      <c r="Y67" s="21"/>
      <c r="Z67" s="21"/>
      <c r="AA67" s="21"/>
      <c r="AB67" s="21"/>
      <c r="AC67" s="21"/>
      <c r="AD67" s="21"/>
      <c r="AE67" s="21"/>
    </row>
    <row r="68" spans="3:31" ht="30" customHeight="1" x14ac:dyDescent="0.3">
      <c r="C68" s="130">
        <v>1</v>
      </c>
      <c r="D68" s="136"/>
      <c r="E68" s="136"/>
      <c r="F68" s="136"/>
      <c r="G68" s="136"/>
      <c r="H68" s="136"/>
      <c r="I68" s="136"/>
      <c r="J68" s="136"/>
      <c r="K68" s="17"/>
      <c r="L68" s="17"/>
      <c r="M68" s="17"/>
      <c r="N68" s="17"/>
      <c r="O68" s="17"/>
      <c r="P68" s="17"/>
      <c r="Q68" s="17"/>
      <c r="R68" s="17"/>
      <c r="S68" s="17"/>
      <c r="T68" s="137"/>
      <c r="U68" s="137"/>
      <c r="V68" s="137"/>
      <c r="W68" s="137"/>
      <c r="X68" s="137"/>
      <c r="Y68" s="137"/>
      <c r="Z68" s="21"/>
      <c r="AA68" s="21"/>
      <c r="AB68" s="21"/>
      <c r="AC68" s="21"/>
      <c r="AD68" s="21"/>
      <c r="AE68" s="21"/>
    </row>
    <row r="69" spans="3:31" ht="30" customHeight="1" x14ac:dyDescent="0.3">
      <c r="C69" s="130">
        <f>+C68+1</f>
        <v>2</v>
      </c>
      <c r="D69" s="138"/>
      <c r="E69" s="138"/>
      <c r="F69" s="138"/>
      <c r="G69" s="138"/>
      <c r="H69" s="138"/>
      <c r="I69" s="138"/>
      <c r="J69" s="138"/>
      <c r="K69" s="139"/>
      <c r="L69" s="139"/>
      <c r="M69" s="139"/>
      <c r="N69" s="139"/>
      <c r="O69" s="139"/>
      <c r="P69" s="139"/>
      <c r="Q69" s="139"/>
      <c r="R69" s="139"/>
      <c r="S69" s="139"/>
      <c r="T69" s="140"/>
      <c r="U69" s="140"/>
      <c r="V69" s="140"/>
      <c r="W69" s="140"/>
      <c r="X69" s="140"/>
      <c r="Y69" s="140"/>
      <c r="Z69" s="21"/>
      <c r="AA69" s="21"/>
      <c r="AB69" s="21"/>
      <c r="AC69" s="21"/>
      <c r="AD69" s="21"/>
      <c r="AE69" s="21"/>
    </row>
    <row r="70" spans="3:31" ht="30" customHeight="1" x14ac:dyDescent="0.3">
      <c r="C70" s="130">
        <f t="shared" ref="C70:C77" si="1">+C69+1</f>
        <v>3</v>
      </c>
      <c r="D70" s="138"/>
      <c r="E70" s="138"/>
      <c r="F70" s="138"/>
      <c r="G70" s="138"/>
      <c r="H70" s="138"/>
      <c r="I70" s="138"/>
      <c r="J70" s="138"/>
      <c r="K70" s="139"/>
      <c r="L70" s="139"/>
      <c r="M70" s="139"/>
      <c r="N70" s="139"/>
      <c r="O70" s="139"/>
      <c r="P70" s="139"/>
      <c r="Q70" s="139"/>
      <c r="R70" s="139"/>
      <c r="S70" s="139"/>
      <c r="T70" s="140"/>
      <c r="U70" s="140"/>
      <c r="V70" s="140"/>
      <c r="W70" s="140"/>
      <c r="X70" s="140"/>
      <c r="Y70" s="140"/>
      <c r="Z70" s="21"/>
      <c r="AA70" s="21"/>
      <c r="AB70" s="21"/>
      <c r="AC70" s="21"/>
      <c r="AD70" s="21"/>
      <c r="AE70" s="21"/>
    </row>
    <row r="71" spans="3:31" ht="30" customHeight="1" x14ac:dyDescent="0.3">
      <c r="C71" s="130">
        <f t="shared" si="1"/>
        <v>4</v>
      </c>
      <c r="D71" s="138"/>
      <c r="E71" s="138"/>
      <c r="F71" s="138"/>
      <c r="G71" s="138"/>
      <c r="H71" s="138"/>
      <c r="I71" s="138"/>
      <c r="J71" s="138"/>
      <c r="K71" s="139"/>
      <c r="L71" s="139"/>
      <c r="M71" s="139"/>
      <c r="N71" s="139"/>
      <c r="O71" s="139"/>
      <c r="P71" s="139"/>
      <c r="Q71" s="139"/>
      <c r="R71" s="139"/>
      <c r="S71" s="139"/>
      <c r="T71" s="140"/>
      <c r="U71" s="140"/>
      <c r="V71" s="140"/>
      <c r="W71" s="140"/>
      <c r="X71" s="140"/>
      <c r="Y71" s="140"/>
      <c r="Z71" s="21"/>
      <c r="AA71" s="21"/>
      <c r="AB71" s="21"/>
      <c r="AC71" s="21"/>
      <c r="AD71" s="21"/>
      <c r="AE71" s="21"/>
    </row>
    <row r="72" spans="3:31" ht="30" customHeight="1" x14ac:dyDescent="0.3">
      <c r="C72" s="130">
        <f t="shared" si="1"/>
        <v>5</v>
      </c>
      <c r="D72" s="138"/>
      <c r="E72" s="138"/>
      <c r="F72" s="138"/>
      <c r="G72" s="138"/>
      <c r="H72" s="138"/>
      <c r="I72" s="138"/>
      <c r="J72" s="138"/>
      <c r="K72" s="139"/>
      <c r="L72" s="139"/>
      <c r="M72" s="139"/>
      <c r="N72" s="139"/>
      <c r="O72" s="139"/>
      <c r="P72" s="139"/>
      <c r="Q72" s="139"/>
      <c r="R72" s="139"/>
      <c r="S72" s="139"/>
      <c r="T72" s="140"/>
      <c r="U72" s="140"/>
      <c r="V72" s="140"/>
      <c r="W72" s="140"/>
      <c r="X72" s="140"/>
      <c r="Y72" s="140"/>
      <c r="Z72" s="21"/>
      <c r="AA72" s="21"/>
      <c r="AB72" s="21"/>
      <c r="AC72" s="21"/>
      <c r="AD72" s="21"/>
      <c r="AE72" s="21"/>
    </row>
    <row r="73" spans="3:31" ht="30" customHeight="1" x14ac:dyDescent="0.3">
      <c r="C73" s="130">
        <f t="shared" si="1"/>
        <v>6</v>
      </c>
      <c r="D73" s="138"/>
      <c r="E73" s="138"/>
      <c r="F73" s="138"/>
      <c r="G73" s="138"/>
      <c r="H73" s="138"/>
      <c r="I73" s="138"/>
      <c r="J73" s="138"/>
      <c r="K73" s="139"/>
      <c r="L73" s="139"/>
      <c r="M73" s="139"/>
      <c r="N73" s="139"/>
      <c r="O73" s="139"/>
      <c r="P73" s="139"/>
      <c r="Q73" s="139"/>
      <c r="R73" s="139"/>
      <c r="S73" s="139"/>
      <c r="T73" s="140"/>
      <c r="U73" s="140"/>
      <c r="V73" s="140"/>
      <c r="W73" s="140"/>
      <c r="X73" s="140"/>
      <c r="Y73" s="140"/>
      <c r="Z73" s="21"/>
      <c r="AA73" s="21"/>
      <c r="AB73" s="21"/>
      <c r="AC73" s="21"/>
      <c r="AD73" s="21"/>
      <c r="AE73" s="21"/>
    </row>
    <row r="74" spans="3:31" ht="30" customHeight="1" x14ac:dyDescent="0.3">
      <c r="C74" s="130">
        <f t="shared" si="1"/>
        <v>7</v>
      </c>
      <c r="D74" s="138"/>
      <c r="E74" s="138"/>
      <c r="F74" s="138"/>
      <c r="G74" s="138"/>
      <c r="H74" s="138"/>
      <c r="I74" s="138"/>
      <c r="J74" s="138"/>
      <c r="K74" s="139"/>
      <c r="L74" s="139"/>
      <c r="M74" s="139"/>
      <c r="N74" s="139"/>
      <c r="O74" s="139"/>
      <c r="P74" s="139"/>
      <c r="Q74" s="139"/>
      <c r="R74" s="139"/>
      <c r="S74" s="139"/>
      <c r="T74" s="140"/>
      <c r="U74" s="140"/>
      <c r="V74" s="140"/>
      <c r="W74" s="140"/>
      <c r="X74" s="140"/>
      <c r="Y74" s="140"/>
      <c r="Z74" s="21"/>
      <c r="AA74" s="21"/>
      <c r="AB74" s="21"/>
      <c r="AC74" s="21"/>
      <c r="AD74" s="21"/>
      <c r="AE74" s="21"/>
    </row>
    <row r="75" spans="3:31" ht="30" customHeight="1" x14ac:dyDescent="0.3">
      <c r="C75" s="130">
        <f t="shared" si="1"/>
        <v>8</v>
      </c>
      <c r="D75" s="138"/>
      <c r="E75" s="138"/>
      <c r="F75" s="138"/>
      <c r="G75" s="138"/>
      <c r="H75" s="138"/>
      <c r="I75" s="138"/>
      <c r="J75" s="138"/>
      <c r="K75" s="139"/>
      <c r="L75" s="139"/>
      <c r="M75" s="139"/>
      <c r="N75" s="139"/>
      <c r="O75" s="139"/>
      <c r="P75" s="139"/>
      <c r="Q75" s="139"/>
      <c r="R75" s="139"/>
      <c r="S75" s="139"/>
      <c r="T75" s="140"/>
      <c r="U75" s="140"/>
      <c r="V75" s="140"/>
      <c r="W75" s="140"/>
      <c r="X75" s="140"/>
      <c r="Y75" s="140"/>
      <c r="Z75" s="21"/>
      <c r="AA75" s="21"/>
      <c r="AB75" s="21"/>
      <c r="AC75" s="21"/>
      <c r="AD75" s="21"/>
      <c r="AE75" s="21"/>
    </row>
    <row r="76" spans="3:31" ht="30" customHeight="1" x14ac:dyDescent="0.3">
      <c r="C76" s="130">
        <f t="shared" si="1"/>
        <v>9</v>
      </c>
      <c r="D76" s="138"/>
      <c r="E76" s="138"/>
      <c r="F76" s="138"/>
      <c r="G76" s="138"/>
      <c r="H76" s="138"/>
      <c r="I76" s="138"/>
      <c r="J76" s="138"/>
      <c r="K76" s="139"/>
      <c r="L76" s="139"/>
      <c r="M76" s="139"/>
      <c r="N76" s="139"/>
      <c r="O76" s="139"/>
      <c r="P76" s="139"/>
      <c r="Q76" s="139"/>
      <c r="R76" s="139"/>
      <c r="S76" s="139"/>
      <c r="T76" s="140"/>
      <c r="U76" s="140"/>
      <c r="V76" s="140"/>
      <c r="W76" s="140"/>
      <c r="X76" s="140"/>
      <c r="Y76" s="140"/>
      <c r="Z76" s="21"/>
      <c r="AA76" s="21"/>
      <c r="AB76" s="21"/>
      <c r="AC76" s="21"/>
      <c r="AD76" s="21"/>
      <c r="AE76" s="21"/>
    </row>
    <row r="77" spans="3:31" ht="30" customHeight="1" x14ac:dyDescent="0.3">
      <c r="C77" s="130">
        <f t="shared" si="1"/>
        <v>10</v>
      </c>
      <c r="D77" s="138"/>
      <c r="E77" s="138"/>
      <c r="F77" s="138"/>
      <c r="G77" s="138"/>
      <c r="H77" s="138"/>
      <c r="I77" s="138"/>
      <c r="J77" s="138"/>
      <c r="K77" s="139"/>
      <c r="L77" s="139"/>
      <c r="M77" s="139"/>
      <c r="N77" s="139"/>
      <c r="O77" s="139"/>
      <c r="P77" s="139"/>
      <c r="Q77" s="139"/>
      <c r="R77" s="139"/>
      <c r="S77" s="139"/>
      <c r="T77" s="140"/>
      <c r="U77" s="140"/>
      <c r="V77" s="140"/>
      <c r="W77" s="140"/>
      <c r="X77" s="140"/>
      <c r="Y77" s="140"/>
      <c r="Z77" s="21"/>
      <c r="AA77" s="21"/>
      <c r="AB77" s="21"/>
      <c r="AC77" s="21"/>
      <c r="AD77" s="21"/>
      <c r="AE77" s="21"/>
    </row>
    <row r="78" spans="3:31" ht="21" customHeight="1" x14ac:dyDescent="0.3">
      <c r="C78" s="130"/>
      <c r="D78" s="128"/>
      <c r="E78" s="128"/>
      <c r="F78" s="128"/>
      <c r="G78" s="128"/>
      <c r="H78" s="128"/>
      <c r="I78" s="128"/>
      <c r="J78" s="128"/>
      <c r="T78" s="21"/>
      <c r="U78" s="21"/>
      <c r="V78" s="21"/>
      <c r="W78" s="21"/>
      <c r="X78" s="21"/>
      <c r="Y78" s="21"/>
      <c r="Z78" s="21"/>
      <c r="AA78" s="21"/>
      <c r="AB78" s="21"/>
      <c r="AC78" s="21"/>
      <c r="AD78" s="21"/>
      <c r="AE78" s="21"/>
    </row>
    <row r="79" spans="3:31" ht="21" customHeight="1" x14ac:dyDescent="0.3">
      <c r="C79" s="130"/>
      <c r="D79" s="128"/>
      <c r="E79" s="128"/>
      <c r="F79" s="128"/>
      <c r="G79" s="128"/>
      <c r="H79" s="128"/>
      <c r="I79" s="128"/>
      <c r="J79" s="128"/>
      <c r="T79" s="21"/>
      <c r="U79" s="21"/>
      <c r="V79" s="21"/>
      <c r="W79" s="21"/>
      <c r="X79" s="21"/>
      <c r="Y79" s="21"/>
      <c r="Z79" s="21"/>
      <c r="AA79" s="21"/>
      <c r="AB79" s="21"/>
      <c r="AC79" s="21"/>
      <c r="AD79" s="21"/>
      <c r="AE79" s="21"/>
    </row>
    <row r="80" spans="3:31" ht="21" customHeight="1" x14ac:dyDescent="0.3">
      <c r="C80" s="130"/>
      <c r="D80" s="128"/>
      <c r="E80" s="128"/>
      <c r="F80" s="128"/>
      <c r="G80" s="128"/>
      <c r="H80" s="128"/>
      <c r="I80" s="128"/>
      <c r="J80" s="128"/>
      <c r="T80" s="21"/>
      <c r="U80" s="21"/>
      <c r="V80" s="21"/>
      <c r="W80" s="21"/>
      <c r="X80" s="21"/>
      <c r="Y80" s="21"/>
      <c r="Z80" s="21"/>
      <c r="AA80" s="21"/>
      <c r="AB80" s="21"/>
      <c r="AC80" s="21"/>
      <c r="AD80" s="21"/>
      <c r="AE80" s="21"/>
    </row>
    <row r="81" spans="3:31" ht="21" customHeight="1" x14ac:dyDescent="0.3">
      <c r="C81" s="130"/>
      <c r="D81" s="128"/>
      <c r="E81" s="128"/>
      <c r="F81" s="128"/>
      <c r="G81" s="128"/>
      <c r="H81" s="128"/>
      <c r="I81" s="128"/>
      <c r="J81" s="128"/>
      <c r="T81" s="21"/>
      <c r="U81" s="21"/>
      <c r="V81" s="21"/>
      <c r="W81" s="21"/>
      <c r="X81" s="21"/>
      <c r="Y81" s="21"/>
      <c r="Z81" s="21"/>
      <c r="AA81" s="21"/>
      <c r="AB81" s="21"/>
      <c r="AC81" s="21"/>
      <c r="AD81" s="21"/>
      <c r="AE81" s="21"/>
    </row>
    <row r="82" spans="3:31" ht="21" customHeight="1" x14ac:dyDescent="0.3">
      <c r="C82" s="130"/>
      <c r="D82" s="128"/>
      <c r="E82" s="128"/>
      <c r="F82" s="128"/>
      <c r="G82" s="128"/>
      <c r="H82" s="128"/>
      <c r="I82" s="128"/>
      <c r="J82" s="128"/>
      <c r="T82" s="21"/>
      <c r="U82" s="21"/>
      <c r="V82" s="21"/>
      <c r="W82" s="21"/>
      <c r="X82" s="21"/>
      <c r="Y82" s="21"/>
      <c r="Z82" s="21"/>
      <c r="AA82" s="21"/>
      <c r="AB82" s="21"/>
      <c r="AC82" s="21"/>
      <c r="AD82" s="21"/>
      <c r="AE82" s="21"/>
    </row>
    <row r="83" spans="3:31" ht="21" customHeight="1" x14ac:dyDescent="0.3">
      <c r="D83" s="27"/>
      <c r="T83" s="21"/>
      <c r="U83" s="21"/>
      <c r="V83" s="21"/>
      <c r="W83" s="21"/>
      <c r="X83" s="21"/>
      <c r="Y83" s="21"/>
      <c r="Z83" s="21"/>
      <c r="AA83" s="21"/>
      <c r="AB83" s="21"/>
      <c r="AC83" s="21"/>
      <c r="AD83" s="21"/>
      <c r="AE83" s="21"/>
    </row>
    <row r="84" spans="3:31" ht="21" customHeight="1" x14ac:dyDescent="0.3">
      <c r="D84" s="27"/>
      <c r="T84" s="21"/>
      <c r="U84" s="21"/>
      <c r="V84" s="21"/>
      <c r="W84" s="21"/>
      <c r="X84" s="21"/>
      <c r="Y84" s="21"/>
      <c r="Z84" s="21"/>
      <c r="AA84" s="21"/>
      <c r="AB84" s="21"/>
      <c r="AC84" s="21"/>
      <c r="AD84" s="21"/>
      <c r="AE84" s="21"/>
    </row>
    <row r="85" spans="3:31" ht="21" customHeight="1" x14ac:dyDescent="0.3">
      <c r="U85" s="21"/>
      <c r="V85" s="21"/>
      <c r="W85" s="21"/>
      <c r="X85" s="21"/>
      <c r="Y85" s="21"/>
      <c r="Z85" s="21"/>
      <c r="AA85" s="21"/>
      <c r="AB85" s="21"/>
      <c r="AC85" s="21"/>
      <c r="AD85" s="21"/>
      <c r="AE85" s="21"/>
    </row>
    <row r="86" spans="3:31" ht="21" customHeight="1" x14ac:dyDescent="0.3">
      <c r="U86" s="21"/>
      <c r="V86" s="21"/>
      <c r="W86" s="21"/>
      <c r="X86" s="21"/>
      <c r="Y86" s="21"/>
      <c r="Z86" s="21"/>
      <c r="AA86" s="21"/>
      <c r="AB86" s="21"/>
      <c r="AC86" s="21"/>
      <c r="AD86" s="21"/>
      <c r="AE86" s="21"/>
    </row>
    <row r="87" spans="3:31" ht="21" customHeight="1" x14ac:dyDescent="0.3">
      <c r="U87" s="21"/>
      <c r="V87" s="21"/>
      <c r="W87" s="21"/>
      <c r="X87" s="21"/>
      <c r="Y87" s="21"/>
      <c r="Z87" s="21"/>
      <c r="AA87" s="21"/>
      <c r="AB87" s="21"/>
      <c r="AC87" s="21"/>
      <c r="AD87" s="21"/>
      <c r="AE87" s="21"/>
    </row>
    <row r="88" spans="3:31" ht="21" customHeight="1" x14ac:dyDescent="0.3">
      <c r="U88" s="21"/>
      <c r="V88" s="21"/>
      <c r="W88" s="21"/>
      <c r="X88" s="21"/>
      <c r="Y88" s="21"/>
      <c r="Z88" s="21"/>
      <c r="AA88" s="21"/>
      <c r="AB88" s="21"/>
      <c r="AC88" s="21"/>
      <c r="AD88" s="21"/>
      <c r="AE88" s="21"/>
    </row>
    <row r="89" spans="3:31" ht="21" customHeight="1" x14ac:dyDescent="0.3">
      <c r="U89" s="21"/>
      <c r="V89" s="21"/>
      <c r="W89" s="21"/>
      <c r="X89" s="21"/>
      <c r="Y89" s="21"/>
      <c r="Z89" s="21"/>
      <c r="AA89" s="21"/>
      <c r="AB89" s="21"/>
      <c r="AC89" s="21"/>
      <c r="AD89" s="21"/>
      <c r="AE89" s="21"/>
    </row>
    <row r="90" spans="3:31" ht="21" customHeight="1" x14ac:dyDescent="0.3">
      <c r="U90" s="21"/>
      <c r="V90" s="21"/>
      <c r="W90" s="21"/>
      <c r="X90" s="21"/>
      <c r="Y90" s="21"/>
      <c r="Z90" s="21"/>
      <c r="AA90" s="21"/>
      <c r="AB90" s="21"/>
      <c r="AC90" s="21"/>
      <c r="AD90" s="21"/>
      <c r="AE90" s="21"/>
    </row>
    <row r="91" spans="3:31" ht="21" customHeight="1" x14ac:dyDescent="0.3">
      <c r="U91" s="21"/>
      <c r="V91" s="21"/>
      <c r="W91" s="21"/>
      <c r="X91" s="21"/>
      <c r="Y91" s="21"/>
      <c r="Z91" s="21"/>
      <c r="AA91" s="21"/>
      <c r="AB91" s="21"/>
      <c r="AC91" s="21"/>
      <c r="AD91" s="21"/>
      <c r="AE91" s="21"/>
    </row>
    <row r="92" spans="3:31" ht="21" customHeight="1" x14ac:dyDescent="0.3">
      <c r="U92" s="21"/>
      <c r="V92" s="21"/>
      <c r="W92" s="21"/>
      <c r="X92" s="21"/>
      <c r="Y92" s="21"/>
      <c r="Z92" s="21"/>
      <c r="AA92" s="21"/>
      <c r="AB92" s="21"/>
      <c r="AC92" s="21"/>
      <c r="AD92" s="21"/>
      <c r="AE92" s="21"/>
    </row>
    <row r="93" spans="3:31" ht="21" customHeight="1" x14ac:dyDescent="0.3">
      <c r="U93" s="21"/>
      <c r="V93" s="21"/>
      <c r="W93" s="21"/>
      <c r="X93" s="21"/>
      <c r="Y93" s="21"/>
      <c r="Z93" s="21"/>
      <c r="AA93" s="21"/>
      <c r="AB93" s="21"/>
      <c r="AC93" s="21"/>
      <c r="AD93" s="21"/>
      <c r="AE93" s="21"/>
    </row>
    <row r="94" spans="3:31" ht="21" customHeight="1" x14ac:dyDescent="0.3">
      <c r="U94" s="21"/>
      <c r="V94" s="21"/>
      <c r="W94" s="21"/>
      <c r="X94" s="21"/>
      <c r="Y94" s="21"/>
      <c r="Z94" s="21"/>
      <c r="AA94" s="21"/>
      <c r="AB94" s="21"/>
      <c r="AC94" s="21"/>
      <c r="AD94" s="21"/>
      <c r="AE94" s="21"/>
    </row>
    <row r="95" spans="3:31" ht="21" customHeight="1" x14ac:dyDescent="0.3">
      <c r="U95" s="21"/>
      <c r="V95" s="21"/>
      <c r="W95" s="21"/>
      <c r="X95" s="21"/>
      <c r="Y95" s="21"/>
      <c r="Z95" s="21"/>
      <c r="AA95" s="21"/>
      <c r="AB95" s="21"/>
      <c r="AC95" s="21"/>
      <c r="AD95" s="21"/>
      <c r="AE95" s="21"/>
    </row>
    <row r="96" spans="3:31" ht="21" customHeight="1" x14ac:dyDescent="0.3">
      <c r="U96" s="21"/>
      <c r="V96" s="21"/>
      <c r="W96" s="21"/>
      <c r="X96" s="21"/>
      <c r="Y96" s="21"/>
      <c r="Z96" s="21"/>
      <c r="AA96" s="21"/>
      <c r="AB96" s="21"/>
      <c r="AC96" s="21"/>
      <c r="AD96" s="21"/>
      <c r="AE96" s="21"/>
    </row>
    <row r="97" spans="3:31" ht="21" customHeight="1" x14ac:dyDescent="0.3">
      <c r="U97" s="21"/>
      <c r="V97" s="21"/>
      <c r="W97" s="21"/>
      <c r="X97" s="21"/>
      <c r="Y97" s="21"/>
      <c r="Z97" s="21"/>
      <c r="AA97" s="21"/>
      <c r="AB97" s="21"/>
      <c r="AC97" s="21"/>
      <c r="AD97" s="21"/>
      <c r="AE97" s="21"/>
    </row>
    <row r="98" spans="3:31" ht="21" customHeight="1" x14ac:dyDescent="0.3">
      <c r="K98" s="21"/>
      <c r="L98" s="21"/>
      <c r="M98" s="21"/>
      <c r="N98" s="21"/>
      <c r="O98" s="21"/>
      <c r="P98" s="21"/>
      <c r="Q98" s="21"/>
      <c r="R98" s="21"/>
      <c r="S98" s="21"/>
      <c r="T98" s="21"/>
      <c r="U98" s="21"/>
      <c r="V98" s="21"/>
      <c r="W98" s="21"/>
      <c r="X98" s="21"/>
      <c r="Y98" s="21"/>
      <c r="Z98" s="21"/>
      <c r="AA98" s="21"/>
      <c r="AB98" s="21"/>
      <c r="AC98" s="21"/>
      <c r="AD98" s="21"/>
      <c r="AE98" s="21"/>
    </row>
    <row r="99" spans="3:31" ht="21" customHeight="1" x14ac:dyDescent="0.3">
      <c r="K99" s="21"/>
      <c r="L99" s="21"/>
      <c r="M99" s="21"/>
      <c r="N99" s="21"/>
      <c r="O99" s="21"/>
      <c r="P99" s="21"/>
      <c r="Q99" s="21"/>
      <c r="R99" s="21"/>
      <c r="S99" s="21"/>
      <c r="T99" s="21"/>
      <c r="U99" s="21"/>
      <c r="V99" s="21"/>
      <c r="W99" s="21"/>
      <c r="X99" s="21"/>
      <c r="Y99" s="21"/>
      <c r="Z99" s="21"/>
      <c r="AA99" s="21"/>
      <c r="AB99" s="21"/>
      <c r="AC99" s="21"/>
      <c r="AD99" s="21"/>
      <c r="AE99" s="21"/>
    </row>
    <row r="100" spans="3:31" ht="21" customHeight="1" x14ac:dyDescent="0.3">
      <c r="K100" s="21"/>
      <c r="L100" s="21"/>
      <c r="M100" s="21"/>
      <c r="N100" s="21"/>
      <c r="O100" s="21"/>
      <c r="P100" s="21"/>
      <c r="Q100" s="21"/>
      <c r="R100" s="21"/>
      <c r="S100" s="21"/>
      <c r="T100" s="21"/>
      <c r="U100" s="21"/>
      <c r="V100" s="21"/>
      <c r="W100" s="21"/>
      <c r="X100" s="21"/>
      <c r="Y100" s="21"/>
      <c r="Z100" s="21"/>
      <c r="AA100" s="21"/>
      <c r="AB100" s="21"/>
      <c r="AC100" s="21"/>
      <c r="AD100" s="21"/>
      <c r="AE100" s="21"/>
    </row>
    <row r="101" spans="3:31" ht="21" customHeight="1" x14ac:dyDescent="0.3">
      <c r="K101" s="21"/>
      <c r="L101" s="21"/>
      <c r="M101" s="21"/>
      <c r="N101" s="21"/>
      <c r="O101" s="21"/>
      <c r="P101" s="21"/>
      <c r="Q101" s="21"/>
      <c r="R101" s="21"/>
      <c r="S101" s="21"/>
      <c r="T101" s="21"/>
      <c r="U101" s="21"/>
      <c r="V101" s="21"/>
      <c r="W101" s="21"/>
      <c r="X101" s="21"/>
      <c r="Y101" s="21"/>
      <c r="Z101" s="21"/>
      <c r="AA101" s="21"/>
      <c r="AB101" s="21"/>
      <c r="AC101" s="21"/>
      <c r="AD101" s="21"/>
      <c r="AE101" s="21"/>
    </row>
    <row r="102" spans="3:31" ht="21" customHeight="1" x14ac:dyDescent="0.3">
      <c r="C102" s="29">
        <v>1</v>
      </c>
      <c r="D102" s="127" t="str">
        <f>VLOOKUP(VALUE(B7),'81SET'!$B$12:$G$92,2,FALSE)</f>
        <v>Bicara , buat perencanaan maka uang akan datang. Jika ada uang, suka beli barang yang lbh bagus.</v>
      </c>
      <c r="E102" s="21"/>
      <c r="T102" s="21"/>
      <c r="U102" s="21"/>
      <c r="V102" s="21"/>
      <c r="W102" s="21"/>
      <c r="X102" s="21"/>
      <c r="Y102" s="21"/>
      <c r="Z102" s="21"/>
      <c r="AA102" s="21"/>
      <c r="AB102" s="21"/>
      <c r="AC102" s="21"/>
      <c r="AD102" s="21"/>
      <c r="AE102" s="21"/>
    </row>
    <row r="103" spans="3:31" ht="21" customHeight="1" x14ac:dyDescent="0.3">
      <c r="C103" s="29">
        <v>2</v>
      </c>
      <c r="D103" s="127" t="str">
        <f>VLOOKUP(VALUE(B8),'81SET'!$B$12:$G$92,2,FALSE)</f>
        <v>Orang Yang Sangat Percaya Diri &amp; Pintar Bicara, 1 org dengan 1 org = komunikasi sangat keras, ada kuasa, status pernikahan yang berbeda/pasti tidak bahagia/ kalaupun pernikakan bahagia, tp tetap satu di sini dan satu di sana, status kesehatan yang kurang dan di atas usia 40 tahun tidak di senangin lagi di ajak bicara oleh orang lain. dan sanagat keras pendirian.</v>
      </c>
      <c r="E103" s="21"/>
      <c r="T103" s="21"/>
      <c r="U103" s="21"/>
      <c r="V103" s="21"/>
      <c r="W103" s="21"/>
      <c r="X103" s="21"/>
      <c r="Y103" s="21"/>
      <c r="Z103" s="21"/>
      <c r="AA103" s="21"/>
      <c r="AB103" s="21"/>
      <c r="AC103" s="21"/>
      <c r="AD103" s="21"/>
      <c r="AE103" s="21"/>
    </row>
    <row r="104" spans="3:31" ht="21" customHeight="1" x14ac:dyDescent="0.3">
      <c r="C104" s="29">
        <v>3</v>
      </c>
      <c r="D104" s="127" t="str">
        <f>VLOOKUP(VALUE(B9),'81SET'!$B$12:$G$92,2,FALSE)</f>
        <v>Investasi Sering salah sasaran yang mengakibatkan kerugian (Tidak Boleh Bisnis Duet Cepat), kalau tidak ada benefit, tidak mau buat. Dapat duit sudah ada tekanan. Jika energy tinggi akan ada kelimpaan, kekayaan yang sempurna, bahagia. Low energy, dapat uang sudah ada tekanan.</v>
      </c>
      <c r="E104" s="21"/>
      <c r="T104" s="21"/>
      <c r="U104" s="21"/>
      <c r="V104" s="21"/>
      <c r="W104" s="21"/>
      <c r="X104" s="21"/>
      <c r="Y104" s="21"/>
      <c r="Z104" s="21"/>
      <c r="AA104" s="21"/>
      <c r="AB104" s="21"/>
      <c r="AC104" s="21"/>
      <c r="AD104" s="21"/>
      <c r="AE104" s="21"/>
    </row>
    <row r="105" spans="3:31" ht="21" customHeight="1" x14ac:dyDescent="0.3">
      <c r="C105" s="29">
        <v>4</v>
      </c>
      <c r="D105" s="127" t="str">
        <f>VLOOKUP(VALUE(B10),'81SET'!$B$12:$G$92,2,FALSE)</f>
        <v>Orang Yang Dasarnya dilahir Bernasib Mujur, tetapi perlu buat Amal Bakti (Agar Uang Bisa Datang Begitu Saja), harus ada agama agar bisa guiding hidup lbh lancar, energy rendah bisa susah. Jika karakter utama, tidak ada agama bisa susah. Jika di set 6, anak pakai uangmu.</v>
      </c>
      <c r="E105" s="21"/>
      <c r="T105" s="21"/>
      <c r="U105" s="21"/>
      <c r="V105" s="21"/>
      <c r="W105" s="21"/>
      <c r="X105" s="21"/>
      <c r="Y105" s="21"/>
      <c r="Z105" s="21"/>
      <c r="AA105" s="21"/>
      <c r="AB105" s="21"/>
      <c r="AC105" s="21"/>
      <c r="AD105" s="21"/>
      <c r="AE105" s="21"/>
    </row>
    <row r="106" spans="3:31" ht="21" customHeight="1" x14ac:dyDescent="0.3">
      <c r="C106" s="29">
        <v>5</v>
      </c>
      <c r="D106" s="127" t="str">
        <f>VLOOKUP(VALUE(B11),'81SET'!$B$12:$G$92,2,FALSE)</f>
        <v>Seorang Penjual Yang Baik khusus retail barang barang kecil. Untuk Wanita tidak boleh pakai gelang atau jam tangan, untuk Laki Laki Tidak Boleh Pakai Cincin (Dalam Segitiga Tengah) bisa mengundang kecelakaan khusus karakter utama 281, orangnya sangat pintar. Jika perempuan biasanya sangat sibuk karena semua di kerjakan sendiri.</v>
      </c>
      <c r="E106" s="21"/>
      <c r="T106" s="21"/>
      <c r="U106" s="21"/>
      <c r="V106" s="21"/>
      <c r="W106" s="21"/>
      <c r="X106" s="21"/>
      <c r="Y106" s="21"/>
      <c r="Z106" s="21"/>
      <c r="AA106" s="21"/>
      <c r="AB106" s="21"/>
      <c r="AC106" s="21"/>
      <c r="AD106" s="21"/>
      <c r="AE106" s="21"/>
    </row>
    <row r="107" spans="3:31" ht="21" customHeight="1" x14ac:dyDescent="0.3">
      <c r="C107" s="29">
        <v>6</v>
      </c>
      <c r="D107" s="127" t="str">
        <f>VLOOKUP(VALUE(B12),'81SET'!$B$12:$G$92,2,FALSE)</f>
        <v>Perlu Keluar kota untuk mendapatkan hasil yang baik, keluar dari kota kelahiran, kalau ada pressure/ tekanan keluar sebentar.</v>
      </c>
      <c r="E107" s="21"/>
      <c r="T107" s="21"/>
      <c r="U107" s="21"/>
      <c r="V107" s="21"/>
      <c r="W107" s="21"/>
      <c r="X107" s="21"/>
      <c r="Y107" s="21"/>
      <c r="Z107" s="21"/>
      <c r="AA107" s="21"/>
      <c r="AB107" s="21"/>
      <c r="AC107" s="21"/>
      <c r="AD107" s="21"/>
      <c r="AE107" s="21"/>
    </row>
    <row r="108" spans="3:31" ht="21" customHeight="1" x14ac:dyDescent="0.3">
      <c r="C108" s="29">
        <v>7</v>
      </c>
      <c r="D108" s="127" t="str">
        <f>VLOOKUP(VALUE(B13),'81SET'!$B$12:$G$92,2,FALSE)</f>
        <v>Orang Yang Pintar Mengatur Keuangan Tetapi Tidak Boleh Investasi Sendiri, kalau low energy, rancang apapun gampang ketemu masalah. Biasanya financial consultant</v>
      </c>
      <c r="E108" s="21"/>
      <c r="T108" s="21"/>
      <c r="U108" s="21"/>
      <c r="V108" s="21"/>
      <c r="W108" s="21"/>
      <c r="X108" s="21"/>
      <c r="Y108" s="21"/>
      <c r="Z108" s="21"/>
      <c r="AA108" s="21"/>
      <c r="AB108" s="21"/>
      <c r="AC108" s="21"/>
      <c r="AD108" s="21"/>
      <c r="AE108" s="21"/>
    </row>
    <row r="109" spans="3:31" ht="21" customHeight="1" x14ac:dyDescent="0.3">
      <c r="C109" s="29">
        <v>8</v>
      </c>
      <c r="D109" s="127" t="str">
        <f>VLOOKUP(VALUE(B14),'81SET'!$B$12:$G$92,2,FALSE)</f>
        <v>Orang Yang Sangat Sensitip apabila bicara tentang Uang (Mengeluarkan Uang Harus Punya Alasan Yang Kuat Dan Masuk Akal), harus banyak buat amal supaya uang lancar. Jangan ngomong uang, omong hubungan, nogomong benefit baru mau dengar. Jangan ngomong soal uang dulu, harus ngomong yang lain dlu baru uang akan keluar</v>
      </c>
      <c r="E109" s="21"/>
      <c r="K109" s="21"/>
      <c r="L109" s="21"/>
      <c r="M109" s="21"/>
      <c r="N109" s="21"/>
      <c r="O109" s="21"/>
      <c r="P109" s="21"/>
      <c r="Q109" s="21"/>
      <c r="R109" s="21"/>
      <c r="S109" s="21"/>
      <c r="T109" s="21"/>
      <c r="U109" s="21"/>
      <c r="V109" s="21"/>
      <c r="W109" s="21"/>
      <c r="X109" s="21"/>
      <c r="Y109" s="21"/>
      <c r="Z109" s="21"/>
      <c r="AA109" s="21"/>
      <c r="AB109" s="21"/>
      <c r="AC109" s="21"/>
      <c r="AD109" s="21"/>
      <c r="AE109" s="21"/>
    </row>
    <row r="110" spans="3:31" ht="21" customHeight="1" x14ac:dyDescent="0.3">
      <c r="C110" s="29">
        <v>9</v>
      </c>
      <c r="D110" s="127" t="str">
        <f>VLOOKUP(VALUE(B15),'81SET'!$B$12:$G$92,2,FALSE)</f>
        <v>Mengerjakan sesuatu hal tidak percaya sama orang lain, kalau energy low ada kondisi ODC, terlalu Pintar, capek sendiri. Untuk usaha yang di lakukan sendiri pasti suskses, harus banyak istirahat. Selalu merasa lebih pintar dari pada orang lain</v>
      </c>
      <c r="E110" s="21"/>
      <c r="K110" s="21"/>
      <c r="L110" s="21"/>
      <c r="M110" s="21"/>
      <c r="N110" s="21"/>
      <c r="O110" s="21"/>
      <c r="P110" s="21"/>
      <c r="Q110" s="21"/>
      <c r="R110" s="21"/>
      <c r="S110" s="21"/>
      <c r="T110" s="21"/>
      <c r="U110" s="21"/>
      <c r="V110" s="21"/>
      <c r="W110" s="21"/>
      <c r="X110" s="21"/>
      <c r="Y110" s="21"/>
      <c r="Z110" s="21"/>
      <c r="AA110" s="21"/>
      <c r="AB110" s="21"/>
      <c r="AC110" s="21"/>
      <c r="AD110" s="21"/>
      <c r="AE110" s="21"/>
    </row>
    <row r="111" spans="3:31" ht="21" customHeight="1" x14ac:dyDescent="0.3">
      <c r="C111" s="29">
        <v>10</v>
      </c>
      <c r="D111" s="127" t="str">
        <f>VLOOKUP(VALUE(B16),'81SET'!$B$12:$G$92,2,FALSE)</f>
        <v>Pintar Bicara, Jikalau buat presetasi sangat terstruktur, (-) omongan bisa sangat bagus tetapi orang lain tidak ngerti, bisa nyinggung orang/ sakrkastik, jadi energy harus tinggi</v>
      </c>
      <c r="E111" s="21"/>
      <c r="K111" s="21"/>
      <c r="L111" s="21"/>
      <c r="M111" s="21"/>
      <c r="N111" s="21"/>
      <c r="O111" s="21"/>
      <c r="P111" s="21"/>
      <c r="Q111" s="21"/>
      <c r="R111" s="21"/>
      <c r="S111" s="21"/>
      <c r="T111" s="21"/>
      <c r="U111" s="21"/>
      <c r="V111" s="21"/>
      <c r="W111" s="21"/>
      <c r="X111" s="21"/>
      <c r="Y111" s="21"/>
      <c r="Z111" s="21"/>
      <c r="AA111" s="21"/>
      <c r="AB111" s="21"/>
      <c r="AC111" s="21"/>
      <c r="AD111" s="21"/>
      <c r="AE111" s="21"/>
    </row>
    <row r="112" spans="3:31" ht="21" customHeight="1" x14ac:dyDescent="0.3">
      <c r="C112" s="29">
        <v>11</v>
      </c>
      <c r="D112" s="127" t="str">
        <f>VLOOKUP(VALUE(B17),'81SET'!$B$12:$G$92,2,FALSE)</f>
        <v>Pintar Bicara, Jikalau buat presetasi sangat terstruktur, (-) omongan bisa sangat bagus tetapi orang lain tidak ngerti, bisa nyinggung orang/ sakrkastik, jadi energy harus tinggi</v>
      </c>
      <c r="E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3:111" ht="21" customHeight="1" x14ac:dyDescent="0.3">
      <c r="C113" s="29">
        <v>12</v>
      </c>
      <c r="D113" s="127" t="str">
        <f>VLOOKUP(VALUE(B18),'81SET'!$B$12:$G$92,2,FALSE)</f>
        <v>Jikalau Bertindak, bertindak lagi Uang Akan Datang, Tidak Boleh Judi, Harus Kontrol Emosi, Tidak Bisa Dapat Uang Cepat Tapi Harus Melalui Usaha Yang Benar, tidak bisa dapat uang dengan instant / harus usaha yang besar baru bisa dapat uang besar. Harus investasi bisnis yang jelas.</v>
      </c>
      <c r="E113" s="21"/>
      <c r="K113" s="21"/>
      <c r="L113" s="21"/>
      <c r="M113" s="21"/>
      <c r="N113" s="21"/>
      <c r="O113" s="21"/>
      <c r="P113" s="21"/>
      <c r="Q113" s="21"/>
      <c r="R113" s="21"/>
      <c r="S113" s="21"/>
      <c r="T113" s="21"/>
      <c r="U113" s="21"/>
      <c r="V113" s="21"/>
      <c r="W113" s="21"/>
      <c r="X113" s="21"/>
      <c r="Y113" s="21"/>
      <c r="Z113" s="21"/>
      <c r="AA113" s="21"/>
      <c r="AB113" s="21"/>
      <c r="AC113" s="21"/>
      <c r="AD113" s="21"/>
      <c r="AE113" s="21"/>
    </row>
    <row r="114" spans="3:111" ht="21" customHeight="1" x14ac:dyDescent="0.3">
      <c r="C114" s="29">
        <v>13</v>
      </c>
      <c r="D114" s="127" t="str">
        <f>VLOOKUP(VALUE(B19),'81SET'!$B$12:$G$92,2,FALSE)</f>
        <v>Cocok Untuk Bisnis Jaringan, Mesti Kontrol Emosi Kalau Tidak Gampang Melukai Orang Lain, Seorang Pemimpin Yang Baik Bisa Buat Team Yang Besar ,banyak jodoh dengan orang lain, berekasi aja, rancang saja banyak dapat peluang. Kalau wanita biasanya sangat cantik.</v>
      </c>
      <c r="E114" s="21"/>
      <c r="K114" s="21"/>
      <c r="L114" s="21"/>
      <c r="M114" s="21"/>
      <c r="N114" s="21"/>
      <c r="O114" s="21"/>
      <c r="P114" s="21"/>
      <c r="Q114" s="21"/>
      <c r="R114" s="21"/>
      <c r="S114" s="21"/>
      <c r="T114" s="21"/>
      <c r="U114" s="21"/>
      <c r="V114" s="21"/>
      <c r="W114" s="21"/>
      <c r="X114" s="21"/>
      <c r="Y114" s="21"/>
      <c r="Z114" s="21"/>
      <c r="AA114" s="21"/>
      <c r="AB114" s="21"/>
      <c r="AC114" s="21"/>
      <c r="AD114" s="21"/>
      <c r="AE114" s="21"/>
    </row>
    <row r="115" spans="3:111" ht="21" customHeight="1" x14ac:dyDescent="0.3">
      <c r="K115" s="21"/>
      <c r="L115" s="21"/>
      <c r="M115" s="21"/>
      <c r="N115" s="21"/>
      <c r="O115" s="21"/>
      <c r="P115" s="21"/>
      <c r="Q115" s="21"/>
      <c r="R115" s="21"/>
      <c r="S115" s="21"/>
      <c r="T115" s="21"/>
      <c r="U115" s="21"/>
      <c r="V115" s="21"/>
      <c r="W115" s="21"/>
      <c r="X115" s="21"/>
      <c r="Y115" s="21"/>
      <c r="Z115" s="21"/>
      <c r="AA115" s="21"/>
      <c r="AB115" s="21"/>
      <c r="AC115" s="21"/>
      <c r="AD115" s="21"/>
      <c r="AE115" s="21"/>
    </row>
    <row r="116" spans="3:111" ht="21" customHeight="1" x14ac:dyDescent="0.3">
      <c r="K116" s="21"/>
      <c r="L116" s="21"/>
      <c r="M116" s="21"/>
      <c r="N116" s="21"/>
      <c r="O116" s="21"/>
      <c r="P116" s="21"/>
      <c r="Q116" s="21"/>
    </row>
    <row r="117" spans="3:111" ht="21" customHeight="1" x14ac:dyDescent="0.3">
      <c r="H117" t="s">
        <v>19</v>
      </c>
      <c r="I117" t="s">
        <v>29</v>
      </c>
      <c r="K117" s="21">
        <f>+M8</f>
        <v>4</v>
      </c>
      <c r="L117" s="21">
        <f>+O8</f>
        <v>2</v>
      </c>
      <c r="M117" s="21">
        <f>+S8</f>
        <v>1</v>
      </c>
      <c r="N117" s="21">
        <f>+U8</f>
        <v>1</v>
      </c>
      <c r="O117" s="21">
        <f>+N9</f>
        <v>6</v>
      </c>
      <c r="P117" s="21">
        <f>+T9</f>
        <v>2</v>
      </c>
      <c r="Q117" s="21">
        <f>+Q12</f>
        <v>8</v>
      </c>
      <c r="T117" s="1"/>
      <c r="U117" s="1"/>
      <c r="V117" s="1"/>
      <c r="W117" s="1"/>
      <c r="X117" s="1"/>
      <c r="Y117" s="1"/>
      <c r="Z117" s="1"/>
      <c r="AA117" s="1"/>
      <c r="AB117" s="1"/>
      <c r="AC117" s="1"/>
      <c r="AD117" s="1"/>
    </row>
    <row r="118" spans="3:111" x14ac:dyDescent="0.3">
      <c r="T118" s="1"/>
      <c r="U118" s="1"/>
      <c r="V118" s="1"/>
      <c r="W118" s="1"/>
      <c r="X118" s="1"/>
      <c r="Y118" s="1"/>
      <c r="Z118" s="1"/>
      <c r="AA118" s="1"/>
      <c r="AB118" s="1"/>
      <c r="AC118" s="1"/>
      <c r="AD118" s="1"/>
    </row>
    <row r="119" spans="3:111" x14ac:dyDescent="0.3">
      <c r="I119" t="s">
        <v>28</v>
      </c>
      <c r="K119">
        <f>+$M$8</f>
        <v>4</v>
      </c>
      <c r="L119">
        <f>+$O$8</f>
        <v>2</v>
      </c>
      <c r="M119">
        <f>+$S$8</f>
        <v>1</v>
      </c>
      <c r="N119">
        <f>+$U$8</f>
        <v>1</v>
      </c>
      <c r="O119">
        <f>+$N$9</f>
        <v>6</v>
      </c>
      <c r="P119">
        <f>+$T$9</f>
        <v>2</v>
      </c>
      <c r="Q119">
        <f>+$Q$12</f>
        <v>8</v>
      </c>
      <c r="R119">
        <f>+$M$15</f>
        <v>1</v>
      </c>
      <c r="S119">
        <f>+$U$15</f>
        <v>5</v>
      </c>
      <c r="T119">
        <f>+$M$17</f>
        <v>9</v>
      </c>
      <c r="U119">
        <f>+$N$17</f>
        <v>8</v>
      </c>
      <c r="V119">
        <f>+$O$17</f>
        <v>1</v>
      </c>
      <c r="W119">
        <f>+$Q$17</f>
        <v>6</v>
      </c>
      <c r="X119">
        <f>+$S$17</f>
        <v>3</v>
      </c>
      <c r="Y119">
        <f>+$T$17</f>
        <v>3</v>
      </c>
      <c r="AA119">
        <f>+$U$17</f>
        <v>6</v>
      </c>
    </row>
    <row r="123" spans="3:111" x14ac:dyDescent="0.3">
      <c r="K123">
        <v>0</v>
      </c>
      <c r="L123">
        <v>1</v>
      </c>
      <c r="M123">
        <v>2</v>
      </c>
      <c r="N123">
        <v>3</v>
      </c>
      <c r="O123">
        <v>4</v>
      </c>
      <c r="P123">
        <v>5</v>
      </c>
      <c r="Q123">
        <v>6</v>
      </c>
      <c r="R123">
        <v>7</v>
      </c>
      <c r="S123">
        <v>8</v>
      </c>
      <c r="T123">
        <v>9</v>
      </c>
      <c r="U123">
        <v>10</v>
      </c>
      <c r="V123">
        <v>11</v>
      </c>
      <c r="W123">
        <v>12</v>
      </c>
      <c r="X123">
        <v>13</v>
      </c>
      <c r="Y123">
        <v>14</v>
      </c>
      <c r="AA123">
        <v>15</v>
      </c>
      <c r="AB123">
        <v>16</v>
      </c>
      <c r="AC123">
        <v>17</v>
      </c>
      <c r="AD123">
        <v>18</v>
      </c>
      <c r="AE123">
        <v>19</v>
      </c>
      <c r="AF123">
        <v>20</v>
      </c>
      <c r="AG123">
        <f>+AF123+1</f>
        <v>21</v>
      </c>
      <c r="AH123">
        <f t="shared" ref="AH123:CS123" si="2">+AG123+1</f>
        <v>22</v>
      </c>
      <c r="AI123">
        <f t="shared" si="2"/>
        <v>23</v>
      </c>
      <c r="AJ123">
        <f t="shared" si="2"/>
        <v>24</v>
      </c>
      <c r="AK123">
        <f t="shared" si="2"/>
        <v>25</v>
      </c>
      <c r="AL123">
        <f t="shared" si="2"/>
        <v>26</v>
      </c>
      <c r="AM123">
        <f t="shared" si="2"/>
        <v>27</v>
      </c>
      <c r="AN123">
        <f t="shared" si="2"/>
        <v>28</v>
      </c>
      <c r="AO123">
        <f t="shared" si="2"/>
        <v>29</v>
      </c>
      <c r="AP123">
        <f t="shared" si="2"/>
        <v>30</v>
      </c>
      <c r="AQ123">
        <f t="shared" si="2"/>
        <v>31</v>
      </c>
      <c r="AR123">
        <f t="shared" si="2"/>
        <v>32</v>
      </c>
      <c r="AS123">
        <f t="shared" si="2"/>
        <v>33</v>
      </c>
      <c r="AT123">
        <f t="shared" si="2"/>
        <v>34</v>
      </c>
      <c r="AU123">
        <f t="shared" si="2"/>
        <v>35</v>
      </c>
      <c r="AV123">
        <f t="shared" si="2"/>
        <v>36</v>
      </c>
      <c r="AW123">
        <f t="shared" si="2"/>
        <v>37</v>
      </c>
      <c r="AX123">
        <f t="shared" si="2"/>
        <v>38</v>
      </c>
      <c r="AY123">
        <f t="shared" si="2"/>
        <v>39</v>
      </c>
      <c r="AZ123">
        <f t="shared" si="2"/>
        <v>40</v>
      </c>
      <c r="BA123">
        <f t="shared" si="2"/>
        <v>41</v>
      </c>
      <c r="BB123">
        <f t="shared" si="2"/>
        <v>42</v>
      </c>
      <c r="BC123">
        <f t="shared" si="2"/>
        <v>43</v>
      </c>
      <c r="BD123">
        <f t="shared" si="2"/>
        <v>44</v>
      </c>
      <c r="BE123">
        <f t="shared" si="2"/>
        <v>45</v>
      </c>
      <c r="BF123">
        <f t="shared" si="2"/>
        <v>46</v>
      </c>
      <c r="BG123">
        <f t="shared" si="2"/>
        <v>47</v>
      </c>
      <c r="BH123">
        <f t="shared" si="2"/>
        <v>48</v>
      </c>
      <c r="BI123">
        <f t="shared" si="2"/>
        <v>49</v>
      </c>
      <c r="BJ123">
        <f t="shared" si="2"/>
        <v>50</v>
      </c>
      <c r="BK123">
        <f t="shared" si="2"/>
        <v>51</v>
      </c>
      <c r="BL123">
        <f t="shared" si="2"/>
        <v>52</v>
      </c>
      <c r="BM123">
        <f t="shared" si="2"/>
        <v>53</v>
      </c>
      <c r="BN123">
        <f t="shared" si="2"/>
        <v>54</v>
      </c>
      <c r="BO123">
        <f t="shared" si="2"/>
        <v>55</v>
      </c>
      <c r="BP123">
        <f t="shared" si="2"/>
        <v>56</v>
      </c>
      <c r="BQ123">
        <f t="shared" si="2"/>
        <v>57</v>
      </c>
      <c r="BR123">
        <f t="shared" si="2"/>
        <v>58</v>
      </c>
      <c r="BS123">
        <f t="shared" si="2"/>
        <v>59</v>
      </c>
      <c r="BT123">
        <f t="shared" si="2"/>
        <v>60</v>
      </c>
      <c r="BU123">
        <f t="shared" si="2"/>
        <v>61</v>
      </c>
      <c r="BV123">
        <f t="shared" si="2"/>
        <v>62</v>
      </c>
      <c r="BW123">
        <f t="shared" si="2"/>
        <v>63</v>
      </c>
      <c r="BX123">
        <f t="shared" si="2"/>
        <v>64</v>
      </c>
      <c r="BY123">
        <f t="shared" si="2"/>
        <v>65</v>
      </c>
      <c r="BZ123">
        <f t="shared" si="2"/>
        <v>66</v>
      </c>
      <c r="CA123">
        <f t="shared" si="2"/>
        <v>67</v>
      </c>
      <c r="CB123">
        <f t="shared" si="2"/>
        <v>68</v>
      </c>
      <c r="CC123">
        <f t="shared" si="2"/>
        <v>69</v>
      </c>
      <c r="CD123">
        <f t="shared" si="2"/>
        <v>70</v>
      </c>
      <c r="CE123">
        <f t="shared" si="2"/>
        <v>71</v>
      </c>
      <c r="CF123">
        <f t="shared" si="2"/>
        <v>72</v>
      </c>
      <c r="CG123">
        <f t="shared" si="2"/>
        <v>73</v>
      </c>
      <c r="CH123">
        <f t="shared" si="2"/>
        <v>74</v>
      </c>
      <c r="CI123">
        <f t="shared" si="2"/>
        <v>75</v>
      </c>
      <c r="CJ123">
        <f t="shared" si="2"/>
        <v>76</v>
      </c>
      <c r="CK123">
        <f t="shared" si="2"/>
        <v>77</v>
      </c>
      <c r="CL123">
        <f t="shared" si="2"/>
        <v>78</v>
      </c>
      <c r="CM123">
        <f t="shared" si="2"/>
        <v>79</v>
      </c>
      <c r="CN123">
        <f t="shared" si="2"/>
        <v>80</v>
      </c>
      <c r="CO123">
        <f t="shared" si="2"/>
        <v>81</v>
      </c>
      <c r="CP123">
        <f t="shared" si="2"/>
        <v>82</v>
      </c>
      <c r="CQ123">
        <f t="shared" si="2"/>
        <v>83</v>
      </c>
      <c r="CR123">
        <f t="shared" si="2"/>
        <v>84</v>
      </c>
      <c r="CS123">
        <f t="shared" si="2"/>
        <v>85</v>
      </c>
      <c r="CT123">
        <f t="shared" ref="CT123:DG123" si="3">+CS123+1</f>
        <v>86</v>
      </c>
      <c r="CU123">
        <f t="shared" si="3"/>
        <v>87</v>
      </c>
      <c r="CV123">
        <f t="shared" si="3"/>
        <v>88</v>
      </c>
      <c r="CW123">
        <f t="shared" si="3"/>
        <v>89</v>
      </c>
      <c r="CX123">
        <f t="shared" si="3"/>
        <v>90</v>
      </c>
      <c r="CY123">
        <f t="shared" si="3"/>
        <v>91</v>
      </c>
      <c r="CZ123">
        <f t="shared" si="3"/>
        <v>92</v>
      </c>
      <c r="DA123">
        <f t="shared" si="3"/>
        <v>93</v>
      </c>
      <c r="DB123">
        <f t="shared" si="3"/>
        <v>94</v>
      </c>
      <c r="DC123">
        <f t="shared" si="3"/>
        <v>95</v>
      </c>
      <c r="DD123">
        <f t="shared" si="3"/>
        <v>96</v>
      </c>
      <c r="DE123">
        <f t="shared" si="3"/>
        <v>97</v>
      </c>
      <c r="DF123">
        <f t="shared" si="3"/>
        <v>98</v>
      </c>
      <c r="DG123">
        <f t="shared" si="3"/>
        <v>99</v>
      </c>
    </row>
    <row r="124" spans="3:111" x14ac:dyDescent="0.3">
      <c r="K124">
        <v>5</v>
      </c>
      <c r="L124">
        <v>1</v>
      </c>
      <c r="M124">
        <v>2</v>
      </c>
      <c r="N124">
        <v>3</v>
      </c>
      <c r="O124">
        <v>4</v>
      </c>
      <c r="P124">
        <v>5</v>
      </c>
      <c r="Q124">
        <v>6</v>
      </c>
      <c r="R124">
        <v>7</v>
      </c>
      <c r="S124">
        <v>8</v>
      </c>
      <c r="T124">
        <v>9</v>
      </c>
      <c r="U124">
        <v>1</v>
      </c>
      <c r="V124">
        <v>2</v>
      </c>
      <c r="W124">
        <v>3</v>
      </c>
      <c r="X124">
        <v>4</v>
      </c>
      <c r="Y124">
        <v>5</v>
      </c>
      <c r="AA124">
        <v>6</v>
      </c>
      <c r="AB124">
        <v>7</v>
      </c>
      <c r="AC124">
        <v>8</v>
      </c>
      <c r="AD124">
        <v>9</v>
      </c>
      <c r="AE124">
        <v>1</v>
      </c>
      <c r="AF124">
        <v>2</v>
      </c>
      <c r="AG124">
        <v>3</v>
      </c>
      <c r="AH124">
        <v>4</v>
      </c>
      <c r="AI124">
        <v>5</v>
      </c>
      <c r="AJ124">
        <v>6</v>
      </c>
      <c r="AK124">
        <v>7</v>
      </c>
      <c r="AL124">
        <v>8</v>
      </c>
      <c r="AM124">
        <v>9</v>
      </c>
      <c r="AN124">
        <v>1</v>
      </c>
      <c r="AO124">
        <v>2</v>
      </c>
      <c r="AP124">
        <v>3</v>
      </c>
      <c r="AQ124">
        <v>4</v>
      </c>
      <c r="AR124">
        <v>5</v>
      </c>
      <c r="AS124">
        <v>6</v>
      </c>
      <c r="AT124">
        <v>7</v>
      </c>
      <c r="AU124">
        <v>8</v>
      </c>
      <c r="AV124">
        <v>9</v>
      </c>
      <c r="AW124">
        <v>1</v>
      </c>
      <c r="AX124">
        <v>2</v>
      </c>
      <c r="AY124">
        <v>3</v>
      </c>
      <c r="AZ124">
        <v>4</v>
      </c>
      <c r="BA124">
        <v>5</v>
      </c>
      <c r="BB124">
        <v>6</v>
      </c>
      <c r="BC124">
        <v>7</v>
      </c>
      <c r="BD124">
        <v>8</v>
      </c>
      <c r="BE124">
        <v>9</v>
      </c>
      <c r="BF124">
        <v>1</v>
      </c>
      <c r="BG124">
        <v>2</v>
      </c>
      <c r="BH124">
        <v>3</v>
      </c>
      <c r="BI124">
        <v>4</v>
      </c>
      <c r="BJ124">
        <v>5</v>
      </c>
      <c r="BK124">
        <v>6</v>
      </c>
      <c r="BL124">
        <v>7</v>
      </c>
      <c r="BM124">
        <v>8</v>
      </c>
      <c r="BN124">
        <v>9</v>
      </c>
      <c r="BO124">
        <v>1</v>
      </c>
      <c r="BP124">
        <v>2</v>
      </c>
      <c r="BQ124">
        <v>3</v>
      </c>
      <c r="BR124">
        <v>4</v>
      </c>
      <c r="BS124">
        <v>5</v>
      </c>
      <c r="BT124">
        <v>6</v>
      </c>
      <c r="BU124">
        <v>7</v>
      </c>
      <c r="BV124">
        <v>8</v>
      </c>
      <c r="BW124">
        <v>9</v>
      </c>
      <c r="BX124">
        <v>1</v>
      </c>
      <c r="BY124">
        <v>2</v>
      </c>
      <c r="BZ124">
        <v>3</v>
      </c>
      <c r="CA124">
        <v>4</v>
      </c>
      <c r="CB124">
        <v>5</v>
      </c>
      <c r="CC124">
        <v>6</v>
      </c>
      <c r="CD124">
        <v>7</v>
      </c>
      <c r="CE124">
        <v>8</v>
      </c>
      <c r="CF124">
        <v>9</v>
      </c>
      <c r="CG124">
        <v>1</v>
      </c>
      <c r="CH124">
        <v>2</v>
      </c>
      <c r="CI124">
        <v>3</v>
      </c>
      <c r="CJ124">
        <v>4</v>
      </c>
      <c r="CK124">
        <v>5</v>
      </c>
      <c r="CL124">
        <v>6</v>
      </c>
      <c r="CM124">
        <v>7</v>
      </c>
      <c r="CN124">
        <v>8</v>
      </c>
      <c r="CO124">
        <v>9</v>
      </c>
      <c r="CP124">
        <v>1</v>
      </c>
      <c r="CQ124">
        <v>2</v>
      </c>
      <c r="CR124">
        <v>3</v>
      </c>
      <c r="CS124">
        <v>4</v>
      </c>
      <c r="CT124">
        <v>5</v>
      </c>
      <c r="CU124">
        <v>6</v>
      </c>
      <c r="CV124">
        <v>7</v>
      </c>
      <c r="CW124">
        <v>8</v>
      </c>
      <c r="CX124">
        <v>9</v>
      </c>
      <c r="CY124">
        <v>1</v>
      </c>
      <c r="CZ124">
        <v>2</v>
      </c>
      <c r="DA124">
        <v>3</v>
      </c>
      <c r="DB124">
        <v>4</v>
      </c>
      <c r="DC124">
        <v>5</v>
      </c>
      <c r="DD124">
        <v>6</v>
      </c>
      <c r="DE124">
        <v>7</v>
      </c>
      <c r="DF124">
        <v>8</v>
      </c>
      <c r="DG124">
        <v>9</v>
      </c>
    </row>
    <row r="126" spans="3:111" ht="21" x14ac:dyDescent="0.4">
      <c r="D126" s="142" t="s">
        <v>596</v>
      </c>
    </row>
    <row r="127" spans="3:111" ht="21" x14ac:dyDescent="0.4">
      <c r="D127" s="142" t="s">
        <v>597</v>
      </c>
    </row>
    <row r="128" spans="3:111" ht="21" x14ac:dyDescent="0.4">
      <c r="D128" s="142" t="s">
        <v>593</v>
      </c>
    </row>
    <row r="129" spans="4:4" ht="21" x14ac:dyDescent="0.4">
      <c r="D129" s="142" t="s">
        <v>594</v>
      </c>
    </row>
    <row r="130" spans="4:4" ht="21" x14ac:dyDescent="0.4">
      <c r="D130" s="142" t="s">
        <v>595</v>
      </c>
    </row>
  </sheetData>
  <mergeCells count="74">
    <mergeCell ref="C67:J67"/>
    <mergeCell ref="D59:J59"/>
    <mergeCell ref="C54:J54"/>
    <mergeCell ref="K54:O54"/>
    <mergeCell ref="K55:O55"/>
    <mergeCell ref="K56:O56"/>
    <mergeCell ref="K57:O57"/>
    <mergeCell ref="K58:O58"/>
    <mergeCell ref="K59:O59"/>
    <mergeCell ref="D55:J55"/>
    <mergeCell ref="D56:J56"/>
    <mergeCell ref="D57:J57"/>
    <mergeCell ref="D58:J58"/>
    <mergeCell ref="C25:D25"/>
    <mergeCell ref="T65:Y65"/>
    <mergeCell ref="B2:Y2"/>
    <mergeCell ref="B3:Y3"/>
    <mergeCell ref="K41:O41"/>
    <mergeCell ref="K40:O40"/>
    <mergeCell ref="K39:O39"/>
    <mergeCell ref="P39:Y39"/>
    <mergeCell ref="P40:Y40"/>
    <mergeCell ref="P41:Y41"/>
    <mergeCell ref="K51:L51"/>
    <mergeCell ref="M51:N51"/>
    <mergeCell ref="O51:P51"/>
    <mergeCell ref="Q51:R51"/>
    <mergeCell ref="S51:T51"/>
    <mergeCell ref="L35:Y35"/>
    <mergeCell ref="O48:P48"/>
    <mergeCell ref="O49:P49"/>
    <mergeCell ref="K48:L48"/>
    <mergeCell ref="M48:N48"/>
    <mergeCell ref="K49:L49"/>
    <mergeCell ref="Q50:R50"/>
    <mergeCell ref="S50:T50"/>
    <mergeCell ref="S49:T49"/>
    <mergeCell ref="M49:N49"/>
    <mergeCell ref="Q49:R49"/>
    <mergeCell ref="AA5:AC5"/>
    <mergeCell ref="K5:O5"/>
    <mergeCell ref="S5:W5"/>
    <mergeCell ref="F6:H6"/>
    <mergeCell ref="F5:H5"/>
    <mergeCell ref="K4:W4"/>
    <mergeCell ref="K47:T47"/>
    <mergeCell ref="P45:U45"/>
    <mergeCell ref="P44:U44"/>
    <mergeCell ref="P43:U43"/>
    <mergeCell ref="K43:O43"/>
    <mergeCell ref="K44:O44"/>
    <mergeCell ref="K45:O45"/>
    <mergeCell ref="K29:O29"/>
    <mergeCell ref="K30:O30"/>
    <mergeCell ref="P30:Y30"/>
    <mergeCell ref="Q29:Y29"/>
    <mergeCell ref="L37:Y37"/>
    <mergeCell ref="L36:Y36"/>
    <mergeCell ref="T61:Y61"/>
    <mergeCell ref="K50:L50"/>
    <mergeCell ref="D21:H21"/>
    <mergeCell ref="P31:Y31"/>
    <mergeCell ref="L33:Y33"/>
    <mergeCell ref="L34:Y34"/>
    <mergeCell ref="Q48:R48"/>
    <mergeCell ref="S48:T48"/>
    <mergeCell ref="C26:I26"/>
    <mergeCell ref="C24:I24"/>
    <mergeCell ref="D22:H22"/>
    <mergeCell ref="D27:I27"/>
    <mergeCell ref="D28:I28"/>
    <mergeCell ref="D29:I29"/>
    <mergeCell ref="M50:N50"/>
    <mergeCell ref="O50:P50"/>
  </mergeCells>
  <pageMargins left="0.25" right="0.25" top="0.75" bottom="0.75" header="0.3" footer="0.3"/>
  <pageSetup paperSize="9" scale="53"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6CF5-5302-4343-BF79-A63B8C98F3F6}">
  <dimension ref="A1:N155"/>
  <sheetViews>
    <sheetView workbookViewId="0">
      <selection sqref="A1:G1"/>
    </sheetView>
  </sheetViews>
  <sheetFormatPr defaultColWidth="8.6640625" defaultRowHeight="14.4" x14ac:dyDescent="0.3"/>
  <cols>
    <col min="1" max="1" width="4.6640625" customWidth="1"/>
    <col min="2" max="3" width="20.6640625" customWidth="1"/>
    <col min="4" max="4" width="14.6640625" customWidth="1"/>
    <col min="5" max="6" width="10" customWidth="1"/>
    <col min="7" max="7" width="32" customWidth="1"/>
    <col min="9" max="9" width="4.6640625" customWidth="1"/>
    <col min="10" max="10" width="14.6640625" customWidth="1"/>
    <col min="11" max="11" width="34.44140625" customWidth="1"/>
    <col min="12" max="12" width="25.44140625" customWidth="1"/>
    <col min="13" max="13" width="37" customWidth="1"/>
    <col min="14" max="14" width="26" customWidth="1"/>
  </cols>
  <sheetData>
    <row r="1" spans="1:14" ht="30" customHeight="1" x14ac:dyDescent="0.3">
      <c r="A1" s="250" t="s">
        <v>121</v>
      </c>
      <c r="B1" s="250"/>
      <c r="C1" s="250"/>
      <c r="D1" s="250"/>
      <c r="E1" s="250"/>
      <c r="F1" s="250"/>
      <c r="G1" s="250"/>
    </row>
    <row r="2" spans="1:14" ht="18" customHeight="1" x14ac:dyDescent="0.3">
      <c r="A2" s="53" t="s">
        <v>293</v>
      </c>
      <c r="B2" s="53"/>
      <c r="C2" s="53"/>
      <c r="D2" s="53"/>
      <c r="E2" s="53"/>
      <c r="F2" s="53"/>
    </row>
    <row r="3" spans="1:14" ht="21.75" customHeight="1" x14ac:dyDescent="0.3">
      <c r="A3" s="52" t="s">
        <v>19</v>
      </c>
      <c r="B3" s="52" t="s">
        <v>445</v>
      </c>
      <c r="C3" s="54" t="s">
        <v>447</v>
      </c>
      <c r="D3" s="52" t="s">
        <v>122</v>
      </c>
      <c r="E3" s="52" t="s">
        <v>20</v>
      </c>
      <c r="F3" s="52" t="s">
        <v>123</v>
      </c>
      <c r="G3" s="52" t="s">
        <v>124</v>
      </c>
    </row>
    <row r="4" spans="1:14" ht="21.75" customHeight="1" x14ac:dyDescent="0.3">
      <c r="A4" s="52"/>
      <c r="B4" s="251" t="s">
        <v>446</v>
      </c>
      <c r="C4" s="252"/>
      <c r="D4" s="52"/>
      <c r="E4" s="52"/>
      <c r="F4" s="52"/>
      <c r="G4" s="52"/>
      <c r="I4" s="80" t="s">
        <v>19</v>
      </c>
      <c r="J4" s="80"/>
      <c r="K4" s="80" t="s">
        <v>540</v>
      </c>
      <c r="L4" s="80" t="s">
        <v>541</v>
      </c>
      <c r="M4" s="80" t="s">
        <v>545</v>
      </c>
      <c r="N4" s="80" t="s">
        <v>539</v>
      </c>
    </row>
    <row r="5" spans="1:14" x14ac:dyDescent="0.3">
      <c r="A5" s="107">
        <v>1</v>
      </c>
      <c r="B5" s="108">
        <v>31</v>
      </c>
      <c r="C5" s="108" t="s">
        <v>294</v>
      </c>
      <c r="D5" s="109" t="s">
        <v>449</v>
      </c>
      <c r="E5" s="107" t="s">
        <v>135</v>
      </c>
      <c r="F5" s="107" t="s">
        <v>126</v>
      </c>
      <c r="G5" s="109" t="s">
        <v>127</v>
      </c>
      <c r="I5" s="81">
        <v>1</v>
      </c>
      <c r="J5" s="82" t="s">
        <v>449</v>
      </c>
      <c r="K5" s="80" t="s">
        <v>518</v>
      </c>
      <c r="L5" s="80" t="s">
        <v>527</v>
      </c>
      <c r="M5" s="80" t="s">
        <v>455</v>
      </c>
      <c r="N5" s="80" t="s">
        <v>450</v>
      </c>
    </row>
    <row r="6" spans="1:14" x14ac:dyDescent="0.3">
      <c r="A6" s="107">
        <v>2</v>
      </c>
      <c r="B6" s="108" t="s">
        <v>128</v>
      </c>
      <c r="C6" s="108" t="s">
        <v>295</v>
      </c>
      <c r="D6" s="109" t="s">
        <v>450</v>
      </c>
      <c r="E6" s="107" t="s">
        <v>135</v>
      </c>
      <c r="F6" s="107" t="s">
        <v>130</v>
      </c>
      <c r="G6" s="109" t="s">
        <v>131</v>
      </c>
      <c r="I6" s="81">
        <v>2</v>
      </c>
      <c r="J6" s="82" t="s">
        <v>450</v>
      </c>
      <c r="K6" s="80" t="s">
        <v>521</v>
      </c>
      <c r="L6" s="80" t="s">
        <v>528</v>
      </c>
      <c r="M6" s="80" t="s">
        <v>456</v>
      </c>
      <c r="N6" s="80" t="s">
        <v>449</v>
      </c>
    </row>
    <row r="7" spans="1:14" x14ac:dyDescent="0.3">
      <c r="A7" s="107">
        <v>3</v>
      </c>
      <c r="B7" s="108" t="s">
        <v>132</v>
      </c>
      <c r="C7" s="108" t="s">
        <v>296</v>
      </c>
      <c r="D7" s="109" t="s">
        <v>451</v>
      </c>
      <c r="E7" s="107" t="s">
        <v>140</v>
      </c>
      <c r="F7" s="107" t="s">
        <v>126</v>
      </c>
      <c r="G7" s="109" t="s">
        <v>133</v>
      </c>
      <c r="I7" s="81">
        <v>3</v>
      </c>
      <c r="J7" s="82" t="s">
        <v>451</v>
      </c>
      <c r="K7" s="82" t="s">
        <v>515</v>
      </c>
      <c r="L7" s="80" t="s">
        <v>529</v>
      </c>
      <c r="M7" s="80" t="s">
        <v>544</v>
      </c>
      <c r="N7" s="80" t="s">
        <v>460</v>
      </c>
    </row>
    <row r="8" spans="1:14" x14ac:dyDescent="0.3">
      <c r="A8" s="107">
        <v>4</v>
      </c>
      <c r="B8" s="108" t="s">
        <v>134</v>
      </c>
      <c r="C8" s="108" t="s">
        <v>297</v>
      </c>
      <c r="D8" s="109" t="s">
        <v>452</v>
      </c>
      <c r="E8" s="107" t="s">
        <v>140</v>
      </c>
      <c r="F8" s="107" t="s">
        <v>130</v>
      </c>
      <c r="G8" s="109" t="s">
        <v>136</v>
      </c>
      <c r="I8" s="81">
        <v>4</v>
      </c>
      <c r="J8" s="82" t="s">
        <v>452</v>
      </c>
      <c r="K8" s="80" t="s">
        <v>523</v>
      </c>
      <c r="L8" s="80" t="s">
        <v>530</v>
      </c>
      <c r="M8" s="80" t="s">
        <v>458</v>
      </c>
      <c r="N8" s="80" t="s">
        <v>459</v>
      </c>
    </row>
    <row r="9" spans="1:14" x14ac:dyDescent="0.3">
      <c r="A9" s="107">
        <v>5</v>
      </c>
      <c r="B9" s="108" t="s">
        <v>137</v>
      </c>
      <c r="C9" s="108" t="s">
        <v>298</v>
      </c>
      <c r="D9" s="109" t="s">
        <v>453</v>
      </c>
      <c r="E9" s="107" t="s">
        <v>145</v>
      </c>
      <c r="F9" s="107" t="s">
        <v>126</v>
      </c>
      <c r="G9" s="109" t="s">
        <v>138</v>
      </c>
      <c r="I9" s="81">
        <v>5</v>
      </c>
      <c r="J9" s="82" t="s">
        <v>453</v>
      </c>
      <c r="K9" s="80" t="s">
        <v>519</v>
      </c>
      <c r="L9" s="80" t="s">
        <v>531</v>
      </c>
      <c r="M9" s="80" t="s">
        <v>459</v>
      </c>
      <c r="N9" s="80" t="s">
        <v>458</v>
      </c>
    </row>
    <row r="10" spans="1:14" x14ac:dyDescent="0.3">
      <c r="A10" s="107">
        <v>6</v>
      </c>
      <c r="B10" s="108" t="s">
        <v>139</v>
      </c>
      <c r="C10" s="108" t="s">
        <v>299</v>
      </c>
      <c r="D10" s="109" t="s">
        <v>454</v>
      </c>
      <c r="E10" s="107" t="s">
        <v>145</v>
      </c>
      <c r="F10" s="107" t="s">
        <v>130</v>
      </c>
      <c r="G10" s="109" t="s">
        <v>141</v>
      </c>
      <c r="I10" s="81">
        <v>6</v>
      </c>
      <c r="J10" s="82" t="s">
        <v>454</v>
      </c>
      <c r="K10" s="80" t="s">
        <v>522</v>
      </c>
      <c r="L10" s="80" t="s">
        <v>532</v>
      </c>
      <c r="M10" s="80" t="s">
        <v>451</v>
      </c>
      <c r="N10" s="80" t="s">
        <v>457</v>
      </c>
    </row>
    <row r="11" spans="1:14" x14ac:dyDescent="0.3">
      <c r="A11" s="107">
        <v>7</v>
      </c>
      <c r="B11" s="108" t="s">
        <v>142</v>
      </c>
      <c r="C11" s="108" t="s">
        <v>300</v>
      </c>
      <c r="D11" s="109" t="s">
        <v>455</v>
      </c>
      <c r="E11" s="107" t="s">
        <v>125</v>
      </c>
      <c r="F11" s="107" t="s">
        <v>126</v>
      </c>
      <c r="G11" s="109" t="s">
        <v>143</v>
      </c>
      <c r="I11" s="81">
        <v>7</v>
      </c>
      <c r="J11" s="82" t="s">
        <v>455</v>
      </c>
      <c r="K11" s="82" t="s">
        <v>516</v>
      </c>
      <c r="L11" s="80" t="s">
        <v>533</v>
      </c>
      <c r="M11" s="80" t="s">
        <v>449</v>
      </c>
      <c r="N11" s="80" t="s">
        <v>456</v>
      </c>
    </row>
    <row r="12" spans="1:14" x14ac:dyDescent="0.3">
      <c r="A12" s="107">
        <v>8</v>
      </c>
      <c r="B12" s="108" t="s">
        <v>144</v>
      </c>
      <c r="C12" s="108" t="s">
        <v>301</v>
      </c>
      <c r="D12" s="109" t="s">
        <v>456</v>
      </c>
      <c r="E12" s="107" t="s">
        <v>125</v>
      </c>
      <c r="F12" s="107" t="s">
        <v>130</v>
      </c>
      <c r="G12" s="109" t="s">
        <v>146</v>
      </c>
      <c r="I12" s="81">
        <v>8</v>
      </c>
      <c r="J12" s="82" t="s">
        <v>456</v>
      </c>
      <c r="K12" s="80" t="s">
        <v>524</v>
      </c>
      <c r="L12" s="80" t="s">
        <v>534</v>
      </c>
      <c r="M12" s="80" t="s">
        <v>450</v>
      </c>
      <c r="N12" s="80" t="s">
        <v>455</v>
      </c>
    </row>
    <row r="13" spans="1:14" x14ac:dyDescent="0.3">
      <c r="A13" s="107">
        <v>9</v>
      </c>
      <c r="B13" s="108" t="s">
        <v>147</v>
      </c>
      <c r="C13" s="108" t="s">
        <v>302</v>
      </c>
      <c r="D13" s="109" t="s">
        <v>457</v>
      </c>
      <c r="E13" s="107" t="s">
        <v>129</v>
      </c>
      <c r="F13" s="107" t="s">
        <v>126</v>
      </c>
      <c r="G13" s="109" t="s">
        <v>148</v>
      </c>
      <c r="I13" s="81">
        <v>9</v>
      </c>
      <c r="J13" s="82" t="s">
        <v>457</v>
      </c>
      <c r="K13" s="80" t="s">
        <v>520</v>
      </c>
      <c r="L13" s="80" t="s">
        <v>535</v>
      </c>
      <c r="M13" s="80" t="s">
        <v>546</v>
      </c>
      <c r="N13" s="80" t="s">
        <v>454</v>
      </c>
    </row>
    <row r="14" spans="1:14" x14ac:dyDescent="0.3">
      <c r="A14" s="107">
        <v>10</v>
      </c>
      <c r="B14" s="108" t="s">
        <v>149</v>
      </c>
      <c r="C14" s="108" t="s">
        <v>303</v>
      </c>
      <c r="D14" s="109" t="s">
        <v>458</v>
      </c>
      <c r="E14" s="107" t="s">
        <v>129</v>
      </c>
      <c r="F14" s="107" t="s">
        <v>130</v>
      </c>
      <c r="G14" s="109" t="s">
        <v>150</v>
      </c>
      <c r="I14" s="81">
        <v>10</v>
      </c>
      <c r="J14" s="82" t="s">
        <v>458</v>
      </c>
      <c r="K14" s="80" t="s">
        <v>525</v>
      </c>
      <c r="L14" s="80" t="s">
        <v>536</v>
      </c>
      <c r="M14" s="80" t="s">
        <v>452</v>
      </c>
      <c r="N14" s="80" t="s">
        <v>453</v>
      </c>
    </row>
    <row r="15" spans="1:14" x14ac:dyDescent="0.3">
      <c r="A15" s="107">
        <v>11</v>
      </c>
      <c r="B15" s="108" t="s">
        <v>151</v>
      </c>
      <c r="C15" s="108" t="s">
        <v>304</v>
      </c>
      <c r="D15" s="109" t="s">
        <v>459</v>
      </c>
      <c r="E15" s="107" t="s">
        <v>135</v>
      </c>
      <c r="F15" s="107" t="s">
        <v>126</v>
      </c>
      <c r="G15" s="109" t="s">
        <v>152</v>
      </c>
      <c r="I15" s="81">
        <v>11</v>
      </c>
      <c r="J15" s="82" t="s">
        <v>459</v>
      </c>
      <c r="K15" s="83" t="s">
        <v>517</v>
      </c>
      <c r="L15" s="80" t="s">
        <v>537</v>
      </c>
      <c r="M15" s="80" t="s">
        <v>453</v>
      </c>
      <c r="N15" s="80" t="s">
        <v>452</v>
      </c>
    </row>
    <row r="16" spans="1:14" x14ac:dyDescent="0.3">
      <c r="A16" s="107">
        <v>12</v>
      </c>
      <c r="B16" s="108" t="s">
        <v>153</v>
      </c>
      <c r="C16" s="108" t="s">
        <v>305</v>
      </c>
      <c r="D16" s="109" t="s">
        <v>460</v>
      </c>
      <c r="E16" s="107" t="s">
        <v>135</v>
      </c>
      <c r="F16" s="107" t="s">
        <v>130</v>
      </c>
      <c r="G16" s="109" t="s">
        <v>154</v>
      </c>
      <c r="I16" s="81">
        <v>12</v>
      </c>
      <c r="J16" s="82" t="s">
        <v>460</v>
      </c>
      <c r="K16" s="80" t="s">
        <v>526</v>
      </c>
      <c r="L16" s="80" t="s">
        <v>538</v>
      </c>
      <c r="M16" s="80" t="s">
        <v>451</v>
      </c>
      <c r="N16" s="80" t="s">
        <v>451</v>
      </c>
    </row>
    <row r="17" spans="1:7" x14ac:dyDescent="0.3">
      <c r="A17" s="107">
        <v>13</v>
      </c>
      <c r="B17" s="108" t="s">
        <v>155</v>
      </c>
      <c r="C17" s="108" t="s">
        <v>306</v>
      </c>
      <c r="D17" s="109" t="s">
        <v>449</v>
      </c>
      <c r="E17" s="107" t="s">
        <v>140</v>
      </c>
      <c r="F17" s="107" t="s">
        <v>126</v>
      </c>
      <c r="G17" s="109" t="s">
        <v>127</v>
      </c>
    </row>
    <row r="18" spans="1:7" x14ac:dyDescent="0.3">
      <c r="A18" s="107">
        <v>14</v>
      </c>
      <c r="B18" s="108" t="s">
        <v>156</v>
      </c>
      <c r="C18" s="108" t="s">
        <v>307</v>
      </c>
      <c r="D18" s="109" t="s">
        <v>450</v>
      </c>
      <c r="E18" s="107" t="s">
        <v>140</v>
      </c>
      <c r="F18" s="107" t="s">
        <v>130</v>
      </c>
      <c r="G18" s="109" t="s">
        <v>131</v>
      </c>
    </row>
    <row r="19" spans="1:7" x14ac:dyDescent="0.3">
      <c r="A19" s="107">
        <v>15</v>
      </c>
      <c r="B19" s="108" t="s">
        <v>157</v>
      </c>
      <c r="C19" s="108" t="s">
        <v>308</v>
      </c>
      <c r="D19" s="109" t="s">
        <v>451</v>
      </c>
      <c r="E19" s="107" t="s">
        <v>145</v>
      </c>
      <c r="F19" s="107" t="s">
        <v>126</v>
      </c>
      <c r="G19" s="109" t="s">
        <v>133</v>
      </c>
    </row>
    <row r="20" spans="1:7" x14ac:dyDescent="0.3">
      <c r="A20" s="107">
        <v>16</v>
      </c>
      <c r="B20" s="108" t="s">
        <v>158</v>
      </c>
      <c r="C20" s="108" t="s">
        <v>309</v>
      </c>
      <c r="D20" s="109" t="s">
        <v>452</v>
      </c>
      <c r="E20" s="107" t="s">
        <v>145</v>
      </c>
      <c r="F20" s="107" t="s">
        <v>130</v>
      </c>
      <c r="G20" s="109" t="s">
        <v>136</v>
      </c>
    </row>
    <row r="21" spans="1:7" x14ac:dyDescent="0.3">
      <c r="A21" s="107">
        <v>17</v>
      </c>
      <c r="B21" s="108" t="s">
        <v>159</v>
      </c>
      <c r="C21" s="108" t="s">
        <v>310</v>
      </c>
      <c r="D21" s="109" t="s">
        <v>453</v>
      </c>
      <c r="E21" s="107" t="s">
        <v>125</v>
      </c>
      <c r="F21" s="107" t="s">
        <v>126</v>
      </c>
      <c r="G21" s="109" t="s">
        <v>138</v>
      </c>
    </row>
    <row r="22" spans="1:7" x14ac:dyDescent="0.3">
      <c r="A22" s="107">
        <v>18</v>
      </c>
      <c r="B22" s="108" t="s">
        <v>160</v>
      </c>
      <c r="C22" s="108" t="s">
        <v>311</v>
      </c>
      <c r="D22" s="109" t="s">
        <v>454</v>
      </c>
      <c r="E22" s="107" t="s">
        <v>125</v>
      </c>
      <c r="F22" s="107" t="s">
        <v>130</v>
      </c>
      <c r="G22" s="109" t="s">
        <v>141</v>
      </c>
    </row>
    <row r="23" spans="1:7" x14ac:dyDescent="0.3">
      <c r="A23" s="107">
        <v>19</v>
      </c>
      <c r="B23" s="108" t="s">
        <v>161</v>
      </c>
      <c r="C23" s="108" t="s">
        <v>312</v>
      </c>
      <c r="D23" s="109" t="s">
        <v>455</v>
      </c>
      <c r="E23" s="107" t="s">
        <v>129</v>
      </c>
      <c r="F23" s="107" t="s">
        <v>126</v>
      </c>
      <c r="G23" s="109" t="s">
        <v>143</v>
      </c>
    </row>
    <row r="24" spans="1:7" x14ac:dyDescent="0.3">
      <c r="A24" s="107">
        <v>20</v>
      </c>
      <c r="B24" s="108" t="s">
        <v>162</v>
      </c>
      <c r="C24" s="108" t="s">
        <v>313</v>
      </c>
      <c r="D24" s="109" t="s">
        <v>456</v>
      </c>
      <c r="E24" s="107" t="s">
        <v>129</v>
      </c>
      <c r="F24" s="107" t="s">
        <v>130</v>
      </c>
      <c r="G24" s="109" t="s">
        <v>146</v>
      </c>
    </row>
    <row r="25" spans="1:7" x14ac:dyDescent="0.3">
      <c r="A25" s="107">
        <v>21</v>
      </c>
      <c r="B25" s="108" t="s">
        <v>163</v>
      </c>
      <c r="C25" s="108" t="s">
        <v>314</v>
      </c>
      <c r="D25" s="109" t="s">
        <v>457</v>
      </c>
      <c r="E25" s="107" t="s">
        <v>135</v>
      </c>
      <c r="F25" s="107" t="s">
        <v>126</v>
      </c>
      <c r="G25" s="109" t="s">
        <v>148</v>
      </c>
    </row>
    <row r="26" spans="1:7" x14ac:dyDescent="0.3">
      <c r="A26" s="107">
        <v>22</v>
      </c>
      <c r="B26" s="108" t="s">
        <v>164</v>
      </c>
      <c r="C26" s="108" t="s">
        <v>315</v>
      </c>
      <c r="D26" s="109" t="s">
        <v>458</v>
      </c>
      <c r="E26" s="107" t="s">
        <v>135</v>
      </c>
      <c r="F26" s="107" t="s">
        <v>130</v>
      </c>
      <c r="G26" s="109" t="s">
        <v>150</v>
      </c>
    </row>
    <row r="27" spans="1:7" x14ac:dyDescent="0.3">
      <c r="A27" s="107">
        <v>23</v>
      </c>
      <c r="B27" s="108" t="s">
        <v>165</v>
      </c>
      <c r="C27" s="108" t="s">
        <v>316</v>
      </c>
      <c r="D27" s="109" t="s">
        <v>459</v>
      </c>
      <c r="E27" s="107" t="s">
        <v>140</v>
      </c>
      <c r="F27" s="107" t="s">
        <v>126</v>
      </c>
      <c r="G27" s="109" t="s">
        <v>152</v>
      </c>
    </row>
    <row r="28" spans="1:7" x14ac:dyDescent="0.3">
      <c r="A28" s="107">
        <v>24</v>
      </c>
      <c r="B28" s="108" t="s">
        <v>166</v>
      </c>
      <c r="C28" s="108" t="s">
        <v>317</v>
      </c>
      <c r="D28" s="109" t="s">
        <v>460</v>
      </c>
      <c r="E28" s="107" t="s">
        <v>140</v>
      </c>
      <c r="F28" s="107" t="s">
        <v>130</v>
      </c>
      <c r="G28" s="109" t="s">
        <v>154</v>
      </c>
    </row>
    <row r="29" spans="1:7" x14ac:dyDescent="0.3">
      <c r="A29" s="107">
        <v>25</v>
      </c>
      <c r="B29" s="108" t="s">
        <v>167</v>
      </c>
      <c r="C29" s="108" t="s">
        <v>318</v>
      </c>
      <c r="D29" s="109" t="s">
        <v>449</v>
      </c>
      <c r="E29" s="107" t="s">
        <v>145</v>
      </c>
      <c r="F29" s="107" t="s">
        <v>126</v>
      </c>
      <c r="G29" s="109" t="s">
        <v>127</v>
      </c>
    </row>
    <row r="30" spans="1:7" x14ac:dyDescent="0.3">
      <c r="A30" s="107">
        <v>26</v>
      </c>
      <c r="B30" s="108" t="s">
        <v>168</v>
      </c>
      <c r="C30" s="108" t="s">
        <v>319</v>
      </c>
      <c r="D30" s="109" t="s">
        <v>450</v>
      </c>
      <c r="E30" s="107" t="s">
        <v>145</v>
      </c>
      <c r="F30" s="107" t="s">
        <v>130</v>
      </c>
      <c r="G30" s="109" t="s">
        <v>131</v>
      </c>
    </row>
    <row r="31" spans="1:7" x14ac:dyDescent="0.3">
      <c r="A31" s="107">
        <v>27</v>
      </c>
      <c r="B31" s="108" t="s">
        <v>169</v>
      </c>
      <c r="C31" s="108" t="s">
        <v>320</v>
      </c>
      <c r="D31" s="109" t="s">
        <v>451</v>
      </c>
      <c r="E31" s="107" t="s">
        <v>125</v>
      </c>
      <c r="F31" s="107" t="s">
        <v>126</v>
      </c>
      <c r="G31" s="109" t="s">
        <v>133</v>
      </c>
    </row>
    <row r="32" spans="1:7" x14ac:dyDescent="0.3">
      <c r="A32" s="107">
        <v>28</v>
      </c>
      <c r="B32" s="108" t="s">
        <v>170</v>
      </c>
      <c r="C32" s="108" t="s">
        <v>321</v>
      </c>
      <c r="D32" s="109" t="s">
        <v>452</v>
      </c>
      <c r="E32" s="107" t="s">
        <v>125</v>
      </c>
      <c r="F32" s="107" t="s">
        <v>130</v>
      </c>
      <c r="G32" s="109" t="s">
        <v>136</v>
      </c>
    </row>
    <row r="33" spans="1:7" x14ac:dyDescent="0.3">
      <c r="A33" s="107">
        <v>29</v>
      </c>
      <c r="B33" s="108" t="s">
        <v>171</v>
      </c>
      <c r="C33" s="108" t="s">
        <v>322</v>
      </c>
      <c r="D33" s="109" t="s">
        <v>453</v>
      </c>
      <c r="E33" s="107" t="s">
        <v>129</v>
      </c>
      <c r="F33" s="107" t="s">
        <v>126</v>
      </c>
      <c r="G33" s="109" t="s">
        <v>138</v>
      </c>
    </row>
    <row r="34" spans="1:7" x14ac:dyDescent="0.3">
      <c r="A34" s="107">
        <v>30</v>
      </c>
      <c r="B34" s="108" t="s">
        <v>172</v>
      </c>
      <c r="C34" s="108" t="s">
        <v>323</v>
      </c>
      <c r="D34" s="109" t="s">
        <v>454</v>
      </c>
      <c r="E34" s="107" t="s">
        <v>129</v>
      </c>
      <c r="F34" s="107" t="s">
        <v>130</v>
      </c>
      <c r="G34" s="109" t="s">
        <v>141</v>
      </c>
    </row>
    <row r="35" spans="1:7" x14ac:dyDescent="0.3">
      <c r="A35" s="107">
        <v>31</v>
      </c>
      <c r="B35" s="108" t="s">
        <v>173</v>
      </c>
      <c r="C35" s="108" t="s">
        <v>324</v>
      </c>
      <c r="D35" s="109" t="s">
        <v>455</v>
      </c>
      <c r="E35" s="107" t="s">
        <v>135</v>
      </c>
      <c r="F35" s="107" t="s">
        <v>126</v>
      </c>
      <c r="G35" s="109" t="s">
        <v>143</v>
      </c>
    </row>
    <row r="36" spans="1:7" x14ac:dyDescent="0.3">
      <c r="A36" s="107">
        <v>32</v>
      </c>
      <c r="B36" s="108" t="s">
        <v>174</v>
      </c>
      <c r="C36" s="108" t="s">
        <v>325</v>
      </c>
      <c r="D36" s="109" t="s">
        <v>456</v>
      </c>
      <c r="E36" s="107" t="s">
        <v>135</v>
      </c>
      <c r="F36" s="107" t="s">
        <v>130</v>
      </c>
      <c r="G36" s="109" t="s">
        <v>146</v>
      </c>
    </row>
    <row r="37" spans="1:7" x14ac:dyDescent="0.3">
      <c r="A37" s="107">
        <v>33</v>
      </c>
      <c r="B37" s="108" t="s">
        <v>175</v>
      </c>
      <c r="C37" s="108" t="s">
        <v>326</v>
      </c>
      <c r="D37" s="109" t="s">
        <v>457</v>
      </c>
      <c r="E37" s="107" t="s">
        <v>140</v>
      </c>
      <c r="F37" s="107" t="s">
        <v>126</v>
      </c>
      <c r="G37" s="109" t="s">
        <v>148</v>
      </c>
    </row>
    <row r="38" spans="1:7" x14ac:dyDescent="0.3">
      <c r="A38" s="107">
        <v>34</v>
      </c>
      <c r="B38" s="108" t="s">
        <v>176</v>
      </c>
      <c r="C38" s="108" t="s">
        <v>327</v>
      </c>
      <c r="D38" s="109" t="s">
        <v>458</v>
      </c>
      <c r="E38" s="107" t="s">
        <v>140</v>
      </c>
      <c r="F38" s="107" t="s">
        <v>130</v>
      </c>
      <c r="G38" s="109" t="s">
        <v>150</v>
      </c>
    </row>
    <row r="39" spans="1:7" x14ac:dyDescent="0.3">
      <c r="A39" s="107">
        <v>35</v>
      </c>
      <c r="B39" s="108" t="s">
        <v>177</v>
      </c>
      <c r="C39" s="108" t="s">
        <v>328</v>
      </c>
      <c r="D39" s="109" t="s">
        <v>459</v>
      </c>
      <c r="E39" s="107" t="s">
        <v>145</v>
      </c>
      <c r="F39" s="107" t="s">
        <v>126</v>
      </c>
      <c r="G39" s="109" t="s">
        <v>152</v>
      </c>
    </row>
    <row r="40" spans="1:7" x14ac:dyDescent="0.3">
      <c r="A40" s="107">
        <v>36</v>
      </c>
      <c r="B40" s="108" t="s">
        <v>178</v>
      </c>
      <c r="C40" s="108" t="s">
        <v>329</v>
      </c>
      <c r="D40" s="109" t="s">
        <v>460</v>
      </c>
      <c r="E40" s="107" t="s">
        <v>145</v>
      </c>
      <c r="F40" s="107" t="s">
        <v>130</v>
      </c>
      <c r="G40" s="109" t="s">
        <v>154</v>
      </c>
    </row>
    <row r="41" spans="1:7" x14ac:dyDescent="0.3">
      <c r="A41" s="107">
        <v>37</v>
      </c>
      <c r="B41" s="108" t="s">
        <v>179</v>
      </c>
      <c r="C41" s="108" t="s">
        <v>330</v>
      </c>
      <c r="D41" s="109" t="s">
        <v>449</v>
      </c>
      <c r="E41" s="107" t="s">
        <v>125</v>
      </c>
      <c r="F41" s="107" t="s">
        <v>126</v>
      </c>
      <c r="G41" s="109" t="s">
        <v>127</v>
      </c>
    </row>
    <row r="42" spans="1:7" x14ac:dyDescent="0.3">
      <c r="A42" s="107">
        <v>38</v>
      </c>
      <c r="B42" s="108" t="s">
        <v>180</v>
      </c>
      <c r="C42" s="108" t="s">
        <v>331</v>
      </c>
      <c r="D42" s="109" t="s">
        <v>450</v>
      </c>
      <c r="E42" s="107" t="s">
        <v>125</v>
      </c>
      <c r="F42" s="107" t="s">
        <v>130</v>
      </c>
      <c r="G42" s="109" t="s">
        <v>131</v>
      </c>
    </row>
    <row r="43" spans="1:7" x14ac:dyDescent="0.3">
      <c r="A43" s="107">
        <v>39</v>
      </c>
      <c r="B43" s="108" t="s">
        <v>181</v>
      </c>
      <c r="C43" s="108" t="s">
        <v>332</v>
      </c>
      <c r="D43" s="109" t="s">
        <v>451</v>
      </c>
      <c r="E43" s="107" t="s">
        <v>129</v>
      </c>
      <c r="F43" s="107" t="s">
        <v>126</v>
      </c>
      <c r="G43" s="109" t="s">
        <v>133</v>
      </c>
    </row>
    <row r="44" spans="1:7" x14ac:dyDescent="0.3">
      <c r="A44" s="107">
        <v>40</v>
      </c>
      <c r="B44" s="108" t="s">
        <v>182</v>
      </c>
      <c r="C44" s="108" t="s">
        <v>333</v>
      </c>
      <c r="D44" s="109" t="s">
        <v>452</v>
      </c>
      <c r="E44" s="107" t="s">
        <v>129</v>
      </c>
      <c r="F44" s="107" t="s">
        <v>130</v>
      </c>
      <c r="G44" s="109" t="s">
        <v>136</v>
      </c>
    </row>
    <row r="45" spans="1:7" x14ac:dyDescent="0.3">
      <c r="A45" s="107">
        <v>41</v>
      </c>
      <c r="B45" s="108" t="s">
        <v>183</v>
      </c>
      <c r="C45" s="108" t="s">
        <v>334</v>
      </c>
      <c r="D45" s="109" t="s">
        <v>453</v>
      </c>
      <c r="E45" s="107" t="s">
        <v>135</v>
      </c>
      <c r="F45" s="107" t="s">
        <v>126</v>
      </c>
      <c r="G45" s="109" t="s">
        <v>138</v>
      </c>
    </row>
    <row r="46" spans="1:7" x14ac:dyDescent="0.3">
      <c r="A46" s="107">
        <v>42</v>
      </c>
      <c r="B46" s="108" t="s">
        <v>184</v>
      </c>
      <c r="C46" s="108" t="s">
        <v>335</v>
      </c>
      <c r="D46" s="109" t="s">
        <v>454</v>
      </c>
      <c r="E46" s="107" t="s">
        <v>135</v>
      </c>
      <c r="F46" s="107" t="s">
        <v>130</v>
      </c>
      <c r="G46" s="109" t="s">
        <v>141</v>
      </c>
    </row>
    <row r="47" spans="1:7" x14ac:dyDescent="0.3">
      <c r="A47" s="107">
        <v>43</v>
      </c>
      <c r="B47" s="108" t="s">
        <v>185</v>
      </c>
      <c r="C47" s="108" t="s">
        <v>336</v>
      </c>
      <c r="D47" s="109" t="s">
        <v>455</v>
      </c>
      <c r="E47" s="107" t="s">
        <v>140</v>
      </c>
      <c r="F47" s="107" t="s">
        <v>126</v>
      </c>
      <c r="G47" s="109" t="s">
        <v>143</v>
      </c>
    </row>
    <row r="48" spans="1:7" x14ac:dyDescent="0.3">
      <c r="A48" s="107">
        <v>44</v>
      </c>
      <c r="B48" s="108" t="s">
        <v>186</v>
      </c>
      <c r="C48" s="108" t="s">
        <v>337</v>
      </c>
      <c r="D48" s="109" t="s">
        <v>456</v>
      </c>
      <c r="E48" s="107" t="s">
        <v>140</v>
      </c>
      <c r="F48" s="107" t="s">
        <v>130</v>
      </c>
      <c r="G48" s="109" t="s">
        <v>146</v>
      </c>
    </row>
    <row r="49" spans="1:7" x14ac:dyDescent="0.3">
      <c r="A49" s="107">
        <v>45</v>
      </c>
      <c r="B49" s="108" t="s">
        <v>187</v>
      </c>
      <c r="C49" s="108" t="s">
        <v>338</v>
      </c>
      <c r="D49" s="109" t="s">
        <v>457</v>
      </c>
      <c r="E49" s="107" t="s">
        <v>145</v>
      </c>
      <c r="F49" s="107" t="s">
        <v>126</v>
      </c>
      <c r="G49" s="109" t="s">
        <v>148</v>
      </c>
    </row>
    <row r="50" spans="1:7" x14ac:dyDescent="0.3">
      <c r="A50" s="107">
        <v>46</v>
      </c>
      <c r="B50" s="108" t="s">
        <v>188</v>
      </c>
      <c r="C50" s="108" t="s">
        <v>339</v>
      </c>
      <c r="D50" s="109" t="s">
        <v>458</v>
      </c>
      <c r="E50" s="107" t="s">
        <v>145</v>
      </c>
      <c r="F50" s="107" t="s">
        <v>130</v>
      </c>
      <c r="G50" s="109" t="s">
        <v>150</v>
      </c>
    </row>
    <row r="51" spans="1:7" x14ac:dyDescent="0.3">
      <c r="A51" s="107">
        <v>47</v>
      </c>
      <c r="B51" s="108" t="s">
        <v>189</v>
      </c>
      <c r="C51" s="108" t="s">
        <v>340</v>
      </c>
      <c r="D51" s="109" t="s">
        <v>459</v>
      </c>
      <c r="E51" s="107" t="s">
        <v>125</v>
      </c>
      <c r="F51" s="107" t="s">
        <v>126</v>
      </c>
      <c r="G51" s="109" t="s">
        <v>152</v>
      </c>
    </row>
    <row r="52" spans="1:7" x14ac:dyDescent="0.3">
      <c r="A52" s="107">
        <v>48</v>
      </c>
      <c r="B52" s="108" t="s">
        <v>190</v>
      </c>
      <c r="C52" s="108" t="s">
        <v>341</v>
      </c>
      <c r="D52" s="109" t="s">
        <v>460</v>
      </c>
      <c r="E52" s="107" t="s">
        <v>125</v>
      </c>
      <c r="F52" s="107" t="s">
        <v>130</v>
      </c>
      <c r="G52" s="109" t="s">
        <v>154</v>
      </c>
    </row>
    <row r="53" spans="1:7" x14ac:dyDescent="0.3">
      <c r="A53" s="107">
        <v>49</v>
      </c>
      <c r="B53" s="108" t="s">
        <v>191</v>
      </c>
      <c r="C53" s="108" t="s">
        <v>342</v>
      </c>
      <c r="D53" s="109" t="s">
        <v>449</v>
      </c>
      <c r="E53" s="107" t="s">
        <v>129</v>
      </c>
      <c r="F53" s="107" t="s">
        <v>126</v>
      </c>
      <c r="G53" s="109" t="s">
        <v>127</v>
      </c>
    </row>
    <row r="54" spans="1:7" x14ac:dyDescent="0.3">
      <c r="A54" s="107">
        <v>50</v>
      </c>
      <c r="B54" s="108" t="s">
        <v>192</v>
      </c>
      <c r="C54" s="108" t="s">
        <v>343</v>
      </c>
      <c r="D54" s="109" t="s">
        <v>450</v>
      </c>
      <c r="E54" s="107" t="s">
        <v>129</v>
      </c>
      <c r="F54" s="107" t="s">
        <v>130</v>
      </c>
      <c r="G54" s="109" t="s">
        <v>131</v>
      </c>
    </row>
    <row r="55" spans="1:7" x14ac:dyDescent="0.3">
      <c r="A55" s="107">
        <v>51</v>
      </c>
      <c r="B55" s="108" t="s">
        <v>193</v>
      </c>
      <c r="C55" s="108" t="s">
        <v>344</v>
      </c>
      <c r="D55" s="109" t="s">
        <v>451</v>
      </c>
      <c r="E55" s="107" t="s">
        <v>135</v>
      </c>
      <c r="F55" s="107" t="s">
        <v>126</v>
      </c>
      <c r="G55" s="109" t="s">
        <v>133</v>
      </c>
    </row>
    <row r="56" spans="1:7" x14ac:dyDescent="0.3">
      <c r="A56" s="107">
        <v>52</v>
      </c>
      <c r="B56" s="108" t="s">
        <v>194</v>
      </c>
      <c r="C56" s="108" t="s">
        <v>345</v>
      </c>
      <c r="D56" s="109" t="s">
        <v>452</v>
      </c>
      <c r="E56" s="107" t="s">
        <v>135</v>
      </c>
      <c r="F56" s="107" t="s">
        <v>130</v>
      </c>
      <c r="G56" s="109" t="s">
        <v>136</v>
      </c>
    </row>
    <row r="57" spans="1:7" x14ac:dyDescent="0.3">
      <c r="A57" s="107">
        <v>53</v>
      </c>
      <c r="B57" s="108" t="s">
        <v>195</v>
      </c>
      <c r="C57" s="108" t="s">
        <v>346</v>
      </c>
      <c r="D57" s="109" t="s">
        <v>453</v>
      </c>
      <c r="E57" s="107" t="s">
        <v>140</v>
      </c>
      <c r="F57" s="107" t="s">
        <v>126</v>
      </c>
      <c r="G57" s="109" t="s">
        <v>138</v>
      </c>
    </row>
    <row r="58" spans="1:7" x14ac:dyDescent="0.3">
      <c r="A58" s="107">
        <v>54</v>
      </c>
      <c r="B58" s="108" t="s">
        <v>196</v>
      </c>
      <c r="C58" s="108" t="s">
        <v>347</v>
      </c>
      <c r="D58" s="109" t="s">
        <v>454</v>
      </c>
      <c r="E58" s="107" t="s">
        <v>140</v>
      </c>
      <c r="F58" s="107" t="s">
        <v>130</v>
      </c>
      <c r="G58" s="109" t="s">
        <v>141</v>
      </c>
    </row>
    <row r="59" spans="1:7" x14ac:dyDescent="0.3">
      <c r="A59" s="107">
        <v>55</v>
      </c>
      <c r="B59" s="108" t="s">
        <v>197</v>
      </c>
      <c r="C59" s="108" t="s">
        <v>348</v>
      </c>
      <c r="D59" s="109" t="s">
        <v>455</v>
      </c>
      <c r="E59" s="107" t="s">
        <v>145</v>
      </c>
      <c r="F59" s="107" t="s">
        <v>126</v>
      </c>
      <c r="G59" s="109" t="s">
        <v>143</v>
      </c>
    </row>
    <row r="60" spans="1:7" x14ac:dyDescent="0.3">
      <c r="A60" s="107">
        <v>56</v>
      </c>
      <c r="B60" s="108" t="s">
        <v>198</v>
      </c>
      <c r="C60" s="108" t="s">
        <v>349</v>
      </c>
      <c r="D60" s="109" t="s">
        <v>456</v>
      </c>
      <c r="E60" s="107" t="s">
        <v>145</v>
      </c>
      <c r="F60" s="107" t="s">
        <v>130</v>
      </c>
      <c r="G60" s="109" t="s">
        <v>146</v>
      </c>
    </row>
    <row r="61" spans="1:7" x14ac:dyDescent="0.3">
      <c r="A61" s="107">
        <v>57</v>
      </c>
      <c r="B61" s="108" t="s">
        <v>199</v>
      </c>
      <c r="C61" s="108" t="s">
        <v>350</v>
      </c>
      <c r="D61" s="109" t="s">
        <v>457</v>
      </c>
      <c r="E61" s="107" t="s">
        <v>125</v>
      </c>
      <c r="F61" s="107" t="s">
        <v>126</v>
      </c>
      <c r="G61" s="109" t="s">
        <v>148</v>
      </c>
    </row>
    <row r="62" spans="1:7" x14ac:dyDescent="0.3">
      <c r="A62" s="107">
        <v>58</v>
      </c>
      <c r="B62" s="108" t="s">
        <v>200</v>
      </c>
      <c r="C62" s="108" t="s">
        <v>351</v>
      </c>
      <c r="D62" s="109" t="s">
        <v>458</v>
      </c>
      <c r="E62" s="107" t="s">
        <v>125</v>
      </c>
      <c r="F62" s="107" t="s">
        <v>130</v>
      </c>
      <c r="G62" s="109" t="s">
        <v>150</v>
      </c>
    </row>
    <row r="63" spans="1:7" x14ac:dyDescent="0.3">
      <c r="A63" s="107">
        <v>59</v>
      </c>
      <c r="B63" s="108" t="s">
        <v>201</v>
      </c>
      <c r="C63" s="108" t="s">
        <v>352</v>
      </c>
      <c r="D63" s="109" t="s">
        <v>459</v>
      </c>
      <c r="E63" s="107" t="s">
        <v>129</v>
      </c>
      <c r="F63" s="107" t="s">
        <v>126</v>
      </c>
      <c r="G63" s="109" t="s">
        <v>152</v>
      </c>
    </row>
    <row r="64" spans="1:7" x14ac:dyDescent="0.3">
      <c r="A64" s="107">
        <v>60</v>
      </c>
      <c r="B64" s="108" t="s">
        <v>202</v>
      </c>
      <c r="C64" s="108" t="s">
        <v>353</v>
      </c>
      <c r="D64" s="109" t="s">
        <v>460</v>
      </c>
      <c r="E64" s="107" t="s">
        <v>129</v>
      </c>
      <c r="F64" s="107" t="s">
        <v>130</v>
      </c>
      <c r="G64" s="109" t="s">
        <v>154</v>
      </c>
    </row>
    <row r="65" spans="1:7" x14ac:dyDescent="0.3">
      <c r="A65" s="107">
        <v>61</v>
      </c>
      <c r="B65" s="108" t="s">
        <v>203</v>
      </c>
      <c r="C65" s="108" t="s">
        <v>354</v>
      </c>
      <c r="D65" s="109" t="s">
        <v>449</v>
      </c>
      <c r="E65" s="107" t="s">
        <v>135</v>
      </c>
      <c r="F65" s="107" t="s">
        <v>126</v>
      </c>
      <c r="G65" s="109" t="s">
        <v>127</v>
      </c>
    </row>
    <row r="66" spans="1:7" x14ac:dyDescent="0.3">
      <c r="A66" s="107">
        <v>62</v>
      </c>
      <c r="B66" s="108" t="s">
        <v>204</v>
      </c>
      <c r="C66" s="108" t="s">
        <v>355</v>
      </c>
      <c r="D66" s="109" t="s">
        <v>450</v>
      </c>
      <c r="E66" s="107" t="s">
        <v>135</v>
      </c>
      <c r="F66" s="107" t="s">
        <v>130</v>
      </c>
      <c r="G66" s="109" t="s">
        <v>131</v>
      </c>
    </row>
    <row r="67" spans="1:7" x14ac:dyDescent="0.3">
      <c r="A67" s="107">
        <v>63</v>
      </c>
      <c r="B67" s="108" t="s">
        <v>205</v>
      </c>
      <c r="C67" s="108" t="s">
        <v>356</v>
      </c>
      <c r="D67" s="109" t="s">
        <v>451</v>
      </c>
      <c r="E67" s="107" t="s">
        <v>140</v>
      </c>
      <c r="F67" s="107" t="s">
        <v>126</v>
      </c>
      <c r="G67" s="109" t="s">
        <v>133</v>
      </c>
    </row>
    <row r="68" spans="1:7" x14ac:dyDescent="0.3">
      <c r="A68" s="107">
        <v>64</v>
      </c>
      <c r="B68" s="108" t="s">
        <v>206</v>
      </c>
      <c r="C68" s="108" t="s">
        <v>357</v>
      </c>
      <c r="D68" s="109" t="s">
        <v>452</v>
      </c>
      <c r="E68" s="107" t="s">
        <v>140</v>
      </c>
      <c r="F68" s="107" t="s">
        <v>130</v>
      </c>
      <c r="G68" s="109" t="s">
        <v>136</v>
      </c>
    </row>
    <row r="69" spans="1:7" x14ac:dyDescent="0.3">
      <c r="A69" s="107">
        <v>65</v>
      </c>
      <c r="B69" s="108" t="s">
        <v>207</v>
      </c>
      <c r="C69" s="108" t="s">
        <v>358</v>
      </c>
      <c r="D69" s="109" t="s">
        <v>453</v>
      </c>
      <c r="E69" s="107" t="s">
        <v>145</v>
      </c>
      <c r="F69" s="107" t="s">
        <v>126</v>
      </c>
      <c r="G69" s="109" t="s">
        <v>138</v>
      </c>
    </row>
    <row r="70" spans="1:7" x14ac:dyDescent="0.3">
      <c r="A70" s="107">
        <v>66</v>
      </c>
      <c r="B70" s="108" t="s">
        <v>208</v>
      </c>
      <c r="C70" s="108" t="s">
        <v>359</v>
      </c>
      <c r="D70" s="109" t="s">
        <v>454</v>
      </c>
      <c r="E70" s="107" t="s">
        <v>145</v>
      </c>
      <c r="F70" s="107" t="s">
        <v>130</v>
      </c>
      <c r="G70" s="109" t="s">
        <v>141</v>
      </c>
    </row>
    <row r="71" spans="1:7" x14ac:dyDescent="0.3">
      <c r="A71" s="107">
        <v>67</v>
      </c>
      <c r="B71" s="108" t="s">
        <v>209</v>
      </c>
      <c r="C71" s="108" t="s">
        <v>360</v>
      </c>
      <c r="D71" s="109" t="s">
        <v>455</v>
      </c>
      <c r="E71" s="107" t="s">
        <v>125</v>
      </c>
      <c r="F71" s="107" t="s">
        <v>126</v>
      </c>
      <c r="G71" s="109" t="s">
        <v>143</v>
      </c>
    </row>
    <row r="72" spans="1:7" x14ac:dyDescent="0.3">
      <c r="A72" s="107">
        <v>68</v>
      </c>
      <c r="B72" s="108" t="s">
        <v>210</v>
      </c>
      <c r="C72" s="108" t="s">
        <v>361</v>
      </c>
      <c r="D72" s="109" t="s">
        <v>456</v>
      </c>
      <c r="E72" s="107" t="s">
        <v>125</v>
      </c>
      <c r="F72" s="107" t="s">
        <v>130</v>
      </c>
      <c r="G72" s="109" t="s">
        <v>146</v>
      </c>
    </row>
    <row r="73" spans="1:7" x14ac:dyDescent="0.3">
      <c r="A73" s="107">
        <v>69</v>
      </c>
      <c r="B73" s="108" t="s">
        <v>211</v>
      </c>
      <c r="C73" s="108" t="s">
        <v>362</v>
      </c>
      <c r="D73" s="109" t="s">
        <v>457</v>
      </c>
      <c r="E73" s="107" t="s">
        <v>129</v>
      </c>
      <c r="F73" s="107" t="s">
        <v>126</v>
      </c>
      <c r="G73" s="109" t="s">
        <v>148</v>
      </c>
    </row>
    <row r="74" spans="1:7" x14ac:dyDescent="0.3">
      <c r="A74" s="107">
        <v>70</v>
      </c>
      <c r="B74" s="108" t="s">
        <v>212</v>
      </c>
      <c r="C74" s="108" t="s">
        <v>363</v>
      </c>
      <c r="D74" s="109" t="s">
        <v>458</v>
      </c>
      <c r="E74" s="107" t="s">
        <v>129</v>
      </c>
      <c r="F74" s="107" t="s">
        <v>130</v>
      </c>
      <c r="G74" s="109" t="s">
        <v>150</v>
      </c>
    </row>
    <row r="75" spans="1:7" x14ac:dyDescent="0.3">
      <c r="A75" s="107">
        <v>71</v>
      </c>
      <c r="B75" s="108" t="s">
        <v>213</v>
      </c>
      <c r="C75" s="108" t="s">
        <v>364</v>
      </c>
      <c r="D75" s="109" t="s">
        <v>459</v>
      </c>
      <c r="E75" s="107" t="s">
        <v>135</v>
      </c>
      <c r="F75" s="107" t="s">
        <v>126</v>
      </c>
      <c r="G75" s="109" t="s">
        <v>152</v>
      </c>
    </row>
    <row r="76" spans="1:7" x14ac:dyDescent="0.3">
      <c r="A76" s="107">
        <v>72</v>
      </c>
      <c r="B76" s="108" t="s">
        <v>214</v>
      </c>
      <c r="C76" s="108" t="s">
        <v>365</v>
      </c>
      <c r="D76" s="109" t="s">
        <v>460</v>
      </c>
      <c r="E76" s="107" t="s">
        <v>135</v>
      </c>
      <c r="F76" s="107" t="s">
        <v>130</v>
      </c>
      <c r="G76" s="109" t="s">
        <v>154</v>
      </c>
    </row>
    <row r="77" spans="1:7" x14ac:dyDescent="0.3">
      <c r="A77" s="107">
        <v>73</v>
      </c>
      <c r="B77" s="108" t="s">
        <v>215</v>
      </c>
      <c r="C77" s="108" t="s">
        <v>366</v>
      </c>
      <c r="D77" s="109" t="s">
        <v>449</v>
      </c>
      <c r="E77" s="107" t="s">
        <v>140</v>
      </c>
      <c r="F77" s="107" t="s">
        <v>126</v>
      </c>
      <c r="G77" s="109" t="s">
        <v>127</v>
      </c>
    </row>
    <row r="78" spans="1:7" x14ac:dyDescent="0.3">
      <c r="A78" s="107">
        <v>74</v>
      </c>
      <c r="B78" s="108" t="s">
        <v>216</v>
      </c>
      <c r="C78" s="108" t="s">
        <v>367</v>
      </c>
      <c r="D78" s="109" t="s">
        <v>450</v>
      </c>
      <c r="E78" s="107" t="s">
        <v>140</v>
      </c>
      <c r="F78" s="107" t="s">
        <v>130</v>
      </c>
      <c r="G78" s="109" t="s">
        <v>131</v>
      </c>
    </row>
    <row r="79" spans="1:7" x14ac:dyDescent="0.3">
      <c r="A79" s="107">
        <v>75</v>
      </c>
      <c r="B79" s="108" t="s">
        <v>217</v>
      </c>
      <c r="C79" s="108" t="s">
        <v>368</v>
      </c>
      <c r="D79" s="109" t="s">
        <v>451</v>
      </c>
      <c r="E79" s="107" t="s">
        <v>145</v>
      </c>
      <c r="F79" s="107" t="s">
        <v>126</v>
      </c>
      <c r="G79" s="109" t="s">
        <v>133</v>
      </c>
    </row>
    <row r="80" spans="1:7" x14ac:dyDescent="0.3">
      <c r="A80" s="107">
        <v>76</v>
      </c>
      <c r="B80" s="108" t="s">
        <v>218</v>
      </c>
      <c r="C80" s="108" t="s">
        <v>369</v>
      </c>
      <c r="D80" s="109" t="s">
        <v>452</v>
      </c>
      <c r="E80" s="107" t="s">
        <v>145</v>
      </c>
      <c r="F80" s="107" t="s">
        <v>130</v>
      </c>
      <c r="G80" s="109" t="s">
        <v>136</v>
      </c>
    </row>
    <row r="81" spans="1:7" x14ac:dyDescent="0.3">
      <c r="A81" s="107">
        <v>77</v>
      </c>
      <c r="B81" s="108" t="s">
        <v>219</v>
      </c>
      <c r="C81" s="108" t="s">
        <v>370</v>
      </c>
      <c r="D81" s="109" t="s">
        <v>453</v>
      </c>
      <c r="E81" s="107" t="s">
        <v>125</v>
      </c>
      <c r="F81" s="107" t="s">
        <v>126</v>
      </c>
      <c r="G81" s="109" t="s">
        <v>138</v>
      </c>
    </row>
    <row r="82" spans="1:7" x14ac:dyDescent="0.3">
      <c r="A82" s="107">
        <v>78</v>
      </c>
      <c r="B82" s="108" t="s">
        <v>220</v>
      </c>
      <c r="C82" s="108" t="s">
        <v>371</v>
      </c>
      <c r="D82" s="109" t="s">
        <v>454</v>
      </c>
      <c r="E82" s="107" t="s">
        <v>125</v>
      </c>
      <c r="F82" s="107" t="s">
        <v>130</v>
      </c>
      <c r="G82" s="109" t="s">
        <v>141</v>
      </c>
    </row>
    <row r="83" spans="1:7" x14ac:dyDescent="0.3">
      <c r="A83" s="107">
        <v>79</v>
      </c>
      <c r="B83" s="108" t="s">
        <v>221</v>
      </c>
      <c r="C83" s="108" t="s">
        <v>372</v>
      </c>
      <c r="D83" s="109" t="s">
        <v>455</v>
      </c>
      <c r="E83" s="107" t="s">
        <v>129</v>
      </c>
      <c r="F83" s="107" t="s">
        <v>126</v>
      </c>
      <c r="G83" s="109" t="s">
        <v>143</v>
      </c>
    </row>
    <row r="84" spans="1:7" x14ac:dyDescent="0.3">
      <c r="A84" s="107">
        <v>80</v>
      </c>
      <c r="B84" s="108" t="s">
        <v>222</v>
      </c>
      <c r="C84" s="108" t="s">
        <v>373</v>
      </c>
      <c r="D84" s="109" t="s">
        <v>456</v>
      </c>
      <c r="E84" s="107" t="s">
        <v>129</v>
      </c>
      <c r="F84" s="107" t="s">
        <v>130</v>
      </c>
      <c r="G84" s="109" t="s">
        <v>146</v>
      </c>
    </row>
    <row r="85" spans="1:7" x14ac:dyDescent="0.3">
      <c r="A85" s="107">
        <v>81</v>
      </c>
      <c r="B85" s="108" t="s">
        <v>223</v>
      </c>
      <c r="C85" s="108" t="s">
        <v>374</v>
      </c>
      <c r="D85" s="109" t="s">
        <v>457</v>
      </c>
      <c r="E85" s="107" t="s">
        <v>135</v>
      </c>
      <c r="F85" s="107" t="s">
        <v>126</v>
      </c>
      <c r="G85" s="109" t="s">
        <v>148</v>
      </c>
    </row>
    <row r="86" spans="1:7" x14ac:dyDescent="0.3">
      <c r="A86" s="107">
        <v>82</v>
      </c>
      <c r="B86" s="108" t="s">
        <v>224</v>
      </c>
      <c r="C86" s="108" t="s">
        <v>375</v>
      </c>
      <c r="D86" s="109" t="s">
        <v>458</v>
      </c>
      <c r="E86" s="107" t="s">
        <v>135</v>
      </c>
      <c r="F86" s="107" t="s">
        <v>130</v>
      </c>
      <c r="G86" s="109" t="s">
        <v>150</v>
      </c>
    </row>
    <row r="87" spans="1:7" x14ac:dyDescent="0.3">
      <c r="A87" s="107">
        <v>83</v>
      </c>
      <c r="B87" s="108" t="s">
        <v>225</v>
      </c>
      <c r="C87" s="108" t="s">
        <v>376</v>
      </c>
      <c r="D87" s="109" t="s">
        <v>459</v>
      </c>
      <c r="E87" s="107" t="s">
        <v>140</v>
      </c>
      <c r="F87" s="107" t="s">
        <v>126</v>
      </c>
      <c r="G87" s="109" t="s">
        <v>152</v>
      </c>
    </row>
    <row r="88" spans="1:7" x14ac:dyDescent="0.3">
      <c r="A88" s="107">
        <v>84</v>
      </c>
      <c r="B88" s="108" t="s">
        <v>226</v>
      </c>
      <c r="C88" s="108" t="s">
        <v>377</v>
      </c>
      <c r="D88" s="109" t="s">
        <v>460</v>
      </c>
      <c r="E88" s="107" t="s">
        <v>140</v>
      </c>
      <c r="F88" s="107" t="s">
        <v>130</v>
      </c>
      <c r="G88" s="109" t="s">
        <v>154</v>
      </c>
    </row>
    <row r="89" spans="1:7" x14ac:dyDescent="0.3">
      <c r="A89" s="107">
        <v>85</v>
      </c>
      <c r="B89" s="108" t="s">
        <v>227</v>
      </c>
      <c r="C89" s="108" t="s">
        <v>378</v>
      </c>
      <c r="D89" s="109" t="s">
        <v>449</v>
      </c>
      <c r="E89" s="107" t="s">
        <v>145</v>
      </c>
      <c r="F89" s="107" t="s">
        <v>126</v>
      </c>
      <c r="G89" s="109" t="s">
        <v>127</v>
      </c>
    </row>
    <row r="90" spans="1:7" x14ac:dyDescent="0.3">
      <c r="A90" s="107">
        <v>86</v>
      </c>
      <c r="B90" s="108" t="s">
        <v>228</v>
      </c>
      <c r="C90" s="108" t="s">
        <v>379</v>
      </c>
      <c r="D90" s="109" t="s">
        <v>450</v>
      </c>
      <c r="E90" s="107" t="s">
        <v>145</v>
      </c>
      <c r="F90" s="107" t="s">
        <v>130</v>
      </c>
      <c r="G90" s="109" t="s">
        <v>131</v>
      </c>
    </row>
    <row r="91" spans="1:7" x14ac:dyDescent="0.3">
      <c r="A91" s="107">
        <v>87</v>
      </c>
      <c r="B91" s="108" t="s">
        <v>229</v>
      </c>
      <c r="C91" s="108" t="s">
        <v>380</v>
      </c>
      <c r="D91" s="109" t="s">
        <v>451</v>
      </c>
      <c r="E91" s="107" t="s">
        <v>125</v>
      </c>
      <c r="F91" s="107" t="s">
        <v>126</v>
      </c>
      <c r="G91" s="109" t="s">
        <v>133</v>
      </c>
    </row>
    <row r="92" spans="1:7" x14ac:dyDescent="0.3">
      <c r="A92" s="107">
        <v>88</v>
      </c>
      <c r="B92" s="108" t="s">
        <v>230</v>
      </c>
      <c r="C92" s="108" t="s">
        <v>381</v>
      </c>
      <c r="D92" s="109" t="s">
        <v>452</v>
      </c>
      <c r="E92" s="107" t="s">
        <v>125</v>
      </c>
      <c r="F92" s="107" t="s">
        <v>130</v>
      </c>
      <c r="G92" s="109" t="s">
        <v>136</v>
      </c>
    </row>
    <row r="93" spans="1:7" x14ac:dyDescent="0.3">
      <c r="A93" s="107">
        <v>89</v>
      </c>
      <c r="B93" s="108" t="s">
        <v>231</v>
      </c>
      <c r="C93" s="108" t="s">
        <v>382</v>
      </c>
      <c r="D93" s="109" t="s">
        <v>453</v>
      </c>
      <c r="E93" s="107" t="s">
        <v>129</v>
      </c>
      <c r="F93" s="107" t="s">
        <v>126</v>
      </c>
      <c r="G93" s="109" t="s">
        <v>138</v>
      </c>
    </row>
    <row r="94" spans="1:7" x14ac:dyDescent="0.3">
      <c r="A94" s="107">
        <v>90</v>
      </c>
      <c r="B94" s="108" t="s">
        <v>232</v>
      </c>
      <c r="C94" s="108" t="s">
        <v>383</v>
      </c>
      <c r="D94" s="109" t="s">
        <v>454</v>
      </c>
      <c r="E94" s="107" t="s">
        <v>129</v>
      </c>
      <c r="F94" s="107" t="s">
        <v>130</v>
      </c>
      <c r="G94" s="109" t="s">
        <v>141</v>
      </c>
    </row>
    <row r="95" spans="1:7" x14ac:dyDescent="0.3">
      <c r="A95" s="107">
        <v>91</v>
      </c>
      <c r="B95" s="108" t="s">
        <v>233</v>
      </c>
      <c r="C95" s="108" t="s">
        <v>384</v>
      </c>
      <c r="D95" s="109" t="s">
        <v>455</v>
      </c>
      <c r="E95" s="107" t="s">
        <v>135</v>
      </c>
      <c r="F95" s="107" t="s">
        <v>126</v>
      </c>
      <c r="G95" s="109" t="s">
        <v>143</v>
      </c>
    </row>
    <row r="96" spans="1:7" x14ac:dyDescent="0.3">
      <c r="A96" s="107">
        <v>92</v>
      </c>
      <c r="B96" s="108" t="s">
        <v>234</v>
      </c>
      <c r="C96" s="108" t="s">
        <v>385</v>
      </c>
      <c r="D96" s="109" t="s">
        <v>456</v>
      </c>
      <c r="E96" s="107" t="s">
        <v>135</v>
      </c>
      <c r="F96" s="107" t="s">
        <v>130</v>
      </c>
      <c r="G96" s="109" t="s">
        <v>146</v>
      </c>
    </row>
    <row r="97" spans="1:7" x14ac:dyDescent="0.3">
      <c r="A97" s="107">
        <v>93</v>
      </c>
      <c r="B97" s="108" t="s">
        <v>235</v>
      </c>
      <c r="C97" s="108" t="s">
        <v>386</v>
      </c>
      <c r="D97" s="109" t="s">
        <v>457</v>
      </c>
      <c r="E97" s="107" t="s">
        <v>140</v>
      </c>
      <c r="F97" s="107" t="s">
        <v>126</v>
      </c>
      <c r="G97" s="109" t="s">
        <v>148</v>
      </c>
    </row>
    <row r="98" spans="1:7" x14ac:dyDescent="0.3">
      <c r="A98" s="107">
        <v>94</v>
      </c>
      <c r="B98" s="108" t="s">
        <v>236</v>
      </c>
      <c r="C98" s="108" t="s">
        <v>387</v>
      </c>
      <c r="D98" s="109" t="s">
        <v>458</v>
      </c>
      <c r="E98" s="107" t="s">
        <v>140</v>
      </c>
      <c r="F98" s="107" t="s">
        <v>130</v>
      </c>
      <c r="G98" s="109" t="s">
        <v>150</v>
      </c>
    </row>
    <row r="99" spans="1:7" x14ac:dyDescent="0.3">
      <c r="A99" s="107">
        <v>95</v>
      </c>
      <c r="B99" s="108" t="s">
        <v>237</v>
      </c>
      <c r="C99" s="108" t="s">
        <v>388</v>
      </c>
      <c r="D99" s="109" t="s">
        <v>459</v>
      </c>
      <c r="E99" s="107" t="s">
        <v>145</v>
      </c>
      <c r="F99" s="107" t="s">
        <v>126</v>
      </c>
      <c r="G99" s="109" t="s">
        <v>152</v>
      </c>
    </row>
    <row r="100" spans="1:7" x14ac:dyDescent="0.3">
      <c r="A100" s="107">
        <v>96</v>
      </c>
      <c r="B100" s="108" t="s">
        <v>238</v>
      </c>
      <c r="C100" s="108" t="s">
        <v>389</v>
      </c>
      <c r="D100" s="109" t="s">
        <v>460</v>
      </c>
      <c r="E100" s="107" t="s">
        <v>145</v>
      </c>
      <c r="F100" s="107" t="s">
        <v>130</v>
      </c>
      <c r="G100" s="109" t="s">
        <v>154</v>
      </c>
    </row>
    <row r="101" spans="1:7" x14ac:dyDescent="0.3">
      <c r="A101" s="107">
        <v>97</v>
      </c>
      <c r="B101" s="108" t="s">
        <v>239</v>
      </c>
      <c r="C101" s="108" t="s">
        <v>390</v>
      </c>
      <c r="D101" s="109" t="s">
        <v>449</v>
      </c>
      <c r="E101" s="107" t="s">
        <v>125</v>
      </c>
      <c r="F101" s="107" t="s">
        <v>126</v>
      </c>
      <c r="G101" s="109" t="s">
        <v>127</v>
      </c>
    </row>
    <row r="102" spans="1:7" x14ac:dyDescent="0.3">
      <c r="A102" s="107">
        <v>98</v>
      </c>
      <c r="B102" s="108" t="s">
        <v>240</v>
      </c>
      <c r="C102" s="108" t="s">
        <v>391</v>
      </c>
      <c r="D102" s="109" t="s">
        <v>450</v>
      </c>
      <c r="E102" s="107" t="s">
        <v>125</v>
      </c>
      <c r="F102" s="107" t="s">
        <v>130</v>
      </c>
      <c r="G102" s="109" t="s">
        <v>131</v>
      </c>
    </row>
    <row r="103" spans="1:7" x14ac:dyDescent="0.3">
      <c r="A103" s="107">
        <v>99</v>
      </c>
      <c r="B103" s="108" t="s">
        <v>241</v>
      </c>
      <c r="C103" s="108" t="s">
        <v>392</v>
      </c>
      <c r="D103" s="109" t="s">
        <v>451</v>
      </c>
      <c r="E103" s="107" t="s">
        <v>129</v>
      </c>
      <c r="F103" s="107" t="s">
        <v>126</v>
      </c>
      <c r="G103" s="109" t="s">
        <v>133</v>
      </c>
    </row>
    <row r="104" spans="1:7" x14ac:dyDescent="0.3">
      <c r="A104" s="107">
        <v>100</v>
      </c>
      <c r="B104" s="108" t="s">
        <v>242</v>
      </c>
      <c r="C104" s="108" t="s">
        <v>393</v>
      </c>
      <c r="D104" s="109" t="s">
        <v>452</v>
      </c>
      <c r="E104" s="107" t="s">
        <v>129</v>
      </c>
      <c r="F104" s="107" t="s">
        <v>130</v>
      </c>
      <c r="G104" s="109" t="s">
        <v>136</v>
      </c>
    </row>
    <row r="105" spans="1:7" x14ac:dyDescent="0.3">
      <c r="A105" s="107">
        <v>101</v>
      </c>
      <c r="B105" s="108" t="s">
        <v>243</v>
      </c>
      <c r="C105" s="108" t="s">
        <v>394</v>
      </c>
      <c r="D105" s="109" t="s">
        <v>453</v>
      </c>
      <c r="E105" s="107" t="s">
        <v>135</v>
      </c>
      <c r="F105" s="107" t="s">
        <v>126</v>
      </c>
      <c r="G105" s="109" t="s">
        <v>138</v>
      </c>
    </row>
    <row r="106" spans="1:7" x14ac:dyDescent="0.3">
      <c r="A106" s="107">
        <v>102</v>
      </c>
      <c r="B106" s="108" t="s">
        <v>244</v>
      </c>
      <c r="C106" s="108" t="s">
        <v>395</v>
      </c>
      <c r="D106" s="109" t="s">
        <v>454</v>
      </c>
      <c r="E106" s="107" t="s">
        <v>135</v>
      </c>
      <c r="F106" s="107" t="s">
        <v>130</v>
      </c>
      <c r="G106" s="109" t="s">
        <v>141</v>
      </c>
    </row>
    <row r="107" spans="1:7" x14ac:dyDescent="0.3">
      <c r="A107" s="107">
        <v>103</v>
      </c>
      <c r="B107" s="108" t="s">
        <v>245</v>
      </c>
      <c r="C107" s="108" t="s">
        <v>396</v>
      </c>
      <c r="D107" s="109" t="s">
        <v>455</v>
      </c>
      <c r="E107" s="107" t="s">
        <v>140</v>
      </c>
      <c r="F107" s="107" t="s">
        <v>126</v>
      </c>
      <c r="G107" s="109" t="s">
        <v>143</v>
      </c>
    </row>
    <row r="108" spans="1:7" x14ac:dyDescent="0.3">
      <c r="A108" s="107">
        <v>104</v>
      </c>
      <c r="B108" s="108" t="s">
        <v>246</v>
      </c>
      <c r="C108" s="108" t="s">
        <v>397</v>
      </c>
      <c r="D108" s="109" t="s">
        <v>456</v>
      </c>
      <c r="E108" s="107" t="s">
        <v>140</v>
      </c>
      <c r="F108" s="107" t="s">
        <v>130</v>
      </c>
      <c r="G108" s="109" t="s">
        <v>146</v>
      </c>
    </row>
    <row r="109" spans="1:7" x14ac:dyDescent="0.3">
      <c r="A109" s="107">
        <v>105</v>
      </c>
      <c r="B109" s="108" t="s">
        <v>247</v>
      </c>
      <c r="C109" s="108" t="s">
        <v>398</v>
      </c>
      <c r="D109" s="109" t="s">
        <v>457</v>
      </c>
      <c r="E109" s="107" t="s">
        <v>145</v>
      </c>
      <c r="F109" s="107" t="s">
        <v>126</v>
      </c>
      <c r="G109" s="109" t="s">
        <v>148</v>
      </c>
    </row>
    <row r="110" spans="1:7" x14ac:dyDescent="0.3">
      <c r="A110" s="107">
        <v>106</v>
      </c>
      <c r="B110" s="108" t="s">
        <v>248</v>
      </c>
      <c r="C110" s="108" t="s">
        <v>399</v>
      </c>
      <c r="D110" s="109" t="s">
        <v>458</v>
      </c>
      <c r="E110" s="107" t="s">
        <v>145</v>
      </c>
      <c r="F110" s="107" t="s">
        <v>130</v>
      </c>
      <c r="G110" s="109" t="s">
        <v>150</v>
      </c>
    </row>
    <row r="111" spans="1:7" x14ac:dyDescent="0.3">
      <c r="A111" s="107">
        <v>107</v>
      </c>
      <c r="B111" s="108" t="s">
        <v>249</v>
      </c>
      <c r="C111" s="108" t="s">
        <v>400</v>
      </c>
      <c r="D111" s="109" t="s">
        <v>459</v>
      </c>
      <c r="E111" s="107" t="s">
        <v>125</v>
      </c>
      <c r="F111" s="107" t="s">
        <v>126</v>
      </c>
      <c r="G111" s="109" t="s">
        <v>152</v>
      </c>
    </row>
    <row r="112" spans="1:7" x14ac:dyDescent="0.3">
      <c r="A112" s="107">
        <v>108</v>
      </c>
      <c r="B112" s="108" t="s">
        <v>250</v>
      </c>
      <c r="C112" s="108" t="s">
        <v>401</v>
      </c>
      <c r="D112" s="109" t="s">
        <v>460</v>
      </c>
      <c r="E112" s="107" t="s">
        <v>125</v>
      </c>
      <c r="F112" s="107" t="s">
        <v>130</v>
      </c>
      <c r="G112" s="109" t="s">
        <v>154</v>
      </c>
    </row>
    <row r="113" spans="1:7" x14ac:dyDescent="0.3">
      <c r="A113" s="107">
        <v>109</v>
      </c>
      <c r="B113" s="108" t="s">
        <v>251</v>
      </c>
      <c r="C113" s="108" t="s">
        <v>402</v>
      </c>
      <c r="D113" s="109" t="s">
        <v>449</v>
      </c>
      <c r="E113" s="107" t="s">
        <v>129</v>
      </c>
      <c r="F113" s="107" t="s">
        <v>126</v>
      </c>
      <c r="G113" s="109" t="s">
        <v>127</v>
      </c>
    </row>
    <row r="114" spans="1:7" x14ac:dyDescent="0.3">
      <c r="A114" s="107">
        <v>110</v>
      </c>
      <c r="B114" s="108" t="s">
        <v>252</v>
      </c>
      <c r="C114" s="108" t="s">
        <v>403</v>
      </c>
      <c r="D114" s="109" t="s">
        <v>450</v>
      </c>
      <c r="E114" s="107" t="s">
        <v>129</v>
      </c>
      <c r="F114" s="107" t="s">
        <v>130</v>
      </c>
      <c r="G114" s="109" t="s">
        <v>131</v>
      </c>
    </row>
    <row r="115" spans="1:7" x14ac:dyDescent="0.3">
      <c r="A115" s="107">
        <v>111</v>
      </c>
      <c r="B115" s="108" t="s">
        <v>253</v>
      </c>
      <c r="C115" s="108" t="s">
        <v>404</v>
      </c>
      <c r="D115" s="109" t="s">
        <v>451</v>
      </c>
      <c r="E115" s="107" t="s">
        <v>135</v>
      </c>
      <c r="F115" s="107" t="s">
        <v>126</v>
      </c>
      <c r="G115" s="109" t="s">
        <v>133</v>
      </c>
    </row>
    <row r="116" spans="1:7" x14ac:dyDescent="0.3">
      <c r="A116" s="107">
        <v>112</v>
      </c>
      <c r="B116" s="108" t="s">
        <v>254</v>
      </c>
      <c r="C116" s="108" t="s">
        <v>405</v>
      </c>
      <c r="D116" s="109" t="s">
        <v>452</v>
      </c>
      <c r="E116" s="107" t="s">
        <v>135</v>
      </c>
      <c r="F116" s="107" t="s">
        <v>130</v>
      </c>
      <c r="G116" s="109" t="s">
        <v>136</v>
      </c>
    </row>
    <row r="117" spans="1:7" x14ac:dyDescent="0.3">
      <c r="A117" s="107">
        <v>113</v>
      </c>
      <c r="B117" s="108" t="s">
        <v>255</v>
      </c>
      <c r="C117" s="108" t="s">
        <v>406</v>
      </c>
      <c r="D117" s="109" t="s">
        <v>453</v>
      </c>
      <c r="E117" s="107" t="s">
        <v>140</v>
      </c>
      <c r="F117" s="107" t="s">
        <v>126</v>
      </c>
      <c r="G117" s="109" t="s">
        <v>138</v>
      </c>
    </row>
    <row r="118" spans="1:7" x14ac:dyDescent="0.3">
      <c r="A118" s="107">
        <v>114</v>
      </c>
      <c r="B118" s="108" t="s">
        <v>256</v>
      </c>
      <c r="C118" s="108" t="s">
        <v>407</v>
      </c>
      <c r="D118" s="109" t="s">
        <v>454</v>
      </c>
      <c r="E118" s="107" t="s">
        <v>140</v>
      </c>
      <c r="F118" s="107" t="s">
        <v>130</v>
      </c>
      <c r="G118" s="109" t="s">
        <v>141</v>
      </c>
    </row>
    <row r="119" spans="1:7" x14ac:dyDescent="0.3">
      <c r="A119" s="107">
        <v>115</v>
      </c>
      <c r="B119" s="108" t="s">
        <v>257</v>
      </c>
      <c r="C119" s="108" t="s">
        <v>408</v>
      </c>
      <c r="D119" s="109" t="s">
        <v>455</v>
      </c>
      <c r="E119" s="107" t="s">
        <v>145</v>
      </c>
      <c r="F119" s="107" t="s">
        <v>126</v>
      </c>
      <c r="G119" s="109" t="s">
        <v>143</v>
      </c>
    </row>
    <row r="120" spans="1:7" x14ac:dyDescent="0.3">
      <c r="A120" s="107">
        <v>116</v>
      </c>
      <c r="B120" s="108" t="s">
        <v>258</v>
      </c>
      <c r="C120" s="108" t="s">
        <v>409</v>
      </c>
      <c r="D120" s="109" t="s">
        <v>456</v>
      </c>
      <c r="E120" s="107" t="s">
        <v>145</v>
      </c>
      <c r="F120" s="107" t="s">
        <v>130</v>
      </c>
      <c r="G120" s="109" t="s">
        <v>146</v>
      </c>
    </row>
    <row r="121" spans="1:7" x14ac:dyDescent="0.3">
      <c r="A121" s="107">
        <v>117</v>
      </c>
      <c r="B121" s="108" t="s">
        <v>259</v>
      </c>
      <c r="C121" s="108" t="s">
        <v>410</v>
      </c>
      <c r="D121" s="109" t="s">
        <v>457</v>
      </c>
      <c r="E121" s="107" t="s">
        <v>125</v>
      </c>
      <c r="F121" s="107" t="s">
        <v>126</v>
      </c>
      <c r="G121" s="109" t="s">
        <v>148</v>
      </c>
    </row>
    <row r="122" spans="1:7" x14ac:dyDescent="0.3">
      <c r="A122" s="107">
        <v>118</v>
      </c>
      <c r="B122" s="108" t="s">
        <v>260</v>
      </c>
      <c r="C122" s="108" t="s">
        <v>411</v>
      </c>
      <c r="D122" s="109" t="s">
        <v>458</v>
      </c>
      <c r="E122" s="107" t="s">
        <v>125</v>
      </c>
      <c r="F122" s="107" t="s">
        <v>130</v>
      </c>
      <c r="G122" s="109" t="s">
        <v>150</v>
      </c>
    </row>
    <row r="123" spans="1:7" x14ac:dyDescent="0.3">
      <c r="A123" s="107">
        <v>119</v>
      </c>
      <c r="B123" s="108" t="s">
        <v>261</v>
      </c>
      <c r="C123" s="108" t="s">
        <v>412</v>
      </c>
      <c r="D123" s="109" t="s">
        <v>459</v>
      </c>
      <c r="E123" s="107" t="s">
        <v>129</v>
      </c>
      <c r="F123" s="107" t="s">
        <v>126</v>
      </c>
      <c r="G123" s="109" t="s">
        <v>152</v>
      </c>
    </row>
    <row r="124" spans="1:7" x14ac:dyDescent="0.3">
      <c r="A124" s="107">
        <v>120</v>
      </c>
      <c r="B124" s="108">
        <v>43501</v>
      </c>
      <c r="C124" s="108" t="s">
        <v>413</v>
      </c>
      <c r="D124" s="109" t="s">
        <v>460</v>
      </c>
      <c r="E124" s="107" t="s">
        <v>129</v>
      </c>
      <c r="F124" s="107" t="s">
        <v>130</v>
      </c>
      <c r="G124" s="109" t="s">
        <v>154</v>
      </c>
    </row>
    <row r="125" spans="1:7" x14ac:dyDescent="0.3">
      <c r="A125" s="107">
        <v>121</v>
      </c>
      <c r="B125" s="108" t="s">
        <v>262</v>
      </c>
      <c r="C125" s="108" t="s">
        <v>414</v>
      </c>
      <c r="D125" s="109" t="s">
        <v>449</v>
      </c>
      <c r="E125" s="107" t="s">
        <v>135</v>
      </c>
      <c r="F125" s="107" t="s">
        <v>126</v>
      </c>
      <c r="G125" s="109" t="s">
        <v>127</v>
      </c>
    </row>
    <row r="126" spans="1:7" x14ac:dyDescent="0.3">
      <c r="A126" s="107">
        <v>122</v>
      </c>
      <c r="B126" s="108" t="s">
        <v>263</v>
      </c>
      <c r="C126" s="108" t="s">
        <v>415</v>
      </c>
      <c r="D126" s="109" t="s">
        <v>450</v>
      </c>
      <c r="E126" s="107" t="s">
        <v>135</v>
      </c>
      <c r="F126" s="107" t="s">
        <v>130</v>
      </c>
      <c r="G126" s="109" t="s">
        <v>131</v>
      </c>
    </row>
    <row r="127" spans="1:7" x14ac:dyDescent="0.3">
      <c r="A127" s="107">
        <v>123</v>
      </c>
      <c r="B127" s="108" t="s">
        <v>264</v>
      </c>
      <c r="C127" s="108" t="s">
        <v>416</v>
      </c>
      <c r="D127" s="109" t="s">
        <v>451</v>
      </c>
      <c r="E127" s="107" t="s">
        <v>140</v>
      </c>
      <c r="F127" s="107" t="s">
        <v>126</v>
      </c>
      <c r="G127" s="109" t="s">
        <v>133</v>
      </c>
    </row>
    <row r="128" spans="1:7" x14ac:dyDescent="0.3">
      <c r="A128" s="107">
        <v>124</v>
      </c>
      <c r="B128" s="108" t="s">
        <v>265</v>
      </c>
      <c r="C128" s="108" t="s">
        <v>417</v>
      </c>
      <c r="D128" s="109" t="s">
        <v>452</v>
      </c>
      <c r="E128" s="107" t="s">
        <v>140</v>
      </c>
      <c r="F128" s="107" t="s">
        <v>130</v>
      </c>
      <c r="G128" s="109" t="s">
        <v>136</v>
      </c>
    </row>
    <row r="129" spans="1:7" x14ac:dyDescent="0.3">
      <c r="A129" s="107">
        <v>125</v>
      </c>
      <c r="B129" s="108" t="s">
        <v>266</v>
      </c>
      <c r="C129" s="108" t="s">
        <v>418</v>
      </c>
      <c r="D129" s="109" t="s">
        <v>453</v>
      </c>
      <c r="E129" s="107" t="s">
        <v>145</v>
      </c>
      <c r="F129" s="107" t="s">
        <v>126</v>
      </c>
      <c r="G129" s="109" t="s">
        <v>138</v>
      </c>
    </row>
    <row r="130" spans="1:7" x14ac:dyDescent="0.3">
      <c r="A130" s="107">
        <v>126</v>
      </c>
      <c r="B130" s="108" t="s">
        <v>267</v>
      </c>
      <c r="C130" s="108" t="s">
        <v>419</v>
      </c>
      <c r="D130" s="109" t="s">
        <v>454</v>
      </c>
      <c r="E130" s="107" t="s">
        <v>145</v>
      </c>
      <c r="F130" s="107" t="s">
        <v>130</v>
      </c>
      <c r="G130" s="109" t="s">
        <v>141</v>
      </c>
    </row>
    <row r="131" spans="1:7" x14ac:dyDescent="0.3">
      <c r="A131" s="107">
        <v>127</v>
      </c>
      <c r="B131" s="108" t="s">
        <v>268</v>
      </c>
      <c r="C131" s="108" t="s">
        <v>420</v>
      </c>
      <c r="D131" s="109" t="s">
        <v>455</v>
      </c>
      <c r="E131" s="107" t="s">
        <v>125</v>
      </c>
      <c r="F131" s="107" t="s">
        <v>126</v>
      </c>
      <c r="G131" s="109" t="s">
        <v>143</v>
      </c>
    </row>
    <row r="132" spans="1:7" x14ac:dyDescent="0.3">
      <c r="A132" s="107">
        <v>128</v>
      </c>
      <c r="B132" s="108" t="s">
        <v>269</v>
      </c>
      <c r="C132" s="108" t="s">
        <v>421</v>
      </c>
      <c r="D132" s="109" t="s">
        <v>456</v>
      </c>
      <c r="E132" s="107" t="s">
        <v>125</v>
      </c>
      <c r="F132" s="107" t="s">
        <v>130</v>
      </c>
      <c r="G132" s="109" t="s">
        <v>146</v>
      </c>
    </row>
    <row r="133" spans="1:7" x14ac:dyDescent="0.3">
      <c r="A133" s="107">
        <v>129</v>
      </c>
      <c r="B133" s="108" t="s">
        <v>270</v>
      </c>
      <c r="C133" s="108" t="s">
        <v>422</v>
      </c>
      <c r="D133" s="109" t="s">
        <v>457</v>
      </c>
      <c r="E133" s="107" t="s">
        <v>129</v>
      </c>
      <c r="F133" s="107" t="s">
        <v>126</v>
      </c>
      <c r="G133" s="109" t="s">
        <v>148</v>
      </c>
    </row>
    <row r="134" spans="1:7" x14ac:dyDescent="0.3">
      <c r="A134" s="107">
        <v>130</v>
      </c>
      <c r="B134" s="108" t="s">
        <v>271</v>
      </c>
      <c r="C134" s="108" t="s">
        <v>423</v>
      </c>
      <c r="D134" s="109" t="s">
        <v>458</v>
      </c>
      <c r="E134" s="107" t="s">
        <v>129</v>
      </c>
      <c r="F134" s="107" t="s">
        <v>130</v>
      </c>
      <c r="G134" s="109" t="s">
        <v>150</v>
      </c>
    </row>
    <row r="135" spans="1:7" x14ac:dyDescent="0.3">
      <c r="A135" s="107">
        <v>131</v>
      </c>
      <c r="B135" s="108" t="s">
        <v>272</v>
      </c>
      <c r="C135" s="108" t="s">
        <v>424</v>
      </c>
      <c r="D135" s="109" t="s">
        <v>459</v>
      </c>
      <c r="E135" s="107" t="s">
        <v>135</v>
      </c>
      <c r="F135" s="107" t="s">
        <v>126</v>
      </c>
      <c r="G135" s="109" t="s">
        <v>152</v>
      </c>
    </row>
    <row r="136" spans="1:7" x14ac:dyDescent="0.3">
      <c r="A136" s="107">
        <v>132</v>
      </c>
      <c r="B136" s="108" t="s">
        <v>273</v>
      </c>
      <c r="C136" s="108" t="s">
        <v>425</v>
      </c>
      <c r="D136" s="109" t="s">
        <v>460</v>
      </c>
      <c r="E136" s="107" t="s">
        <v>135</v>
      </c>
      <c r="F136" s="107" t="s">
        <v>130</v>
      </c>
      <c r="G136" s="109" t="s">
        <v>154</v>
      </c>
    </row>
    <row r="137" spans="1:7" x14ac:dyDescent="0.3">
      <c r="A137" s="107">
        <v>133</v>
      </c>
      <c r="B137" s="108" t="s">
        <v>274</v>
      </c>
      <c r="C137" s="108" t="s">
        <v>426</v>
      </c>
      <c r="D137" s="109" t="s">
        <v>449</v>
      </c>
      <c r="E137" s="107" t="s">
        <v>140</v>
      </c>
      <c r="F137" s="107" t="s">
        <v>126</v>
      </c>
      <c r="G137" s="109" t="s">
        <v>127</v>
      </c>
    </row>
    <row r="138" spans="1:7" x14ac:dyDescent="0.3">
      <c r="A138" s="107">
        <v>134</v>
      </c>
      <c r="B138" s="108" t="s">
        <v>275</v>
      </c>
      <c r="C138" s="108" t="s">
        <v>427</v>
      </c>
      <c r="D138" s="109" t="s">
        <v>450</v>
      </c>
      <c r="E138" s="107" t="s">
        <v>140</v>
      </c>
      <c r="F138" s="107" t="s">
        <v>130</v>
      </c>
      <c r="G138" s="109" t="s">
        <v>131</v>
      </c>
    </row>
    <row r="139" spans="1:7" x14ac:dyDescent="0.3">
      <c r="A139" s="107">
        <v>135</v>
      </c>
      <c r="B139" s="108" t="s">
        <v>276</v>
      </c>
      <c r="C139" s="108" t="s">
        <v>428</v>
      </c>
      <c r="D139" s="109" t="s">
        <v>451</v>
      </c>
      <c r="E139" s="107" t="s">
        <v>145</v>
      </c>
      <c r="F139" s="107" t="s">
        <v>126</v>
      </c>
      <c r="G139" s="109" t="s">
        <v>133</v>
      </c>
    </row>
    <row r="140" spans="1:7" x14ac:dyDescent="0.3">
      <c r="A140" s="107">
        <v>136</v>
      </c>
      <c r="B140" s="108" t="s">
        <v>277</v>
      </c>
      <c r="C140" s="108" t="s">
        <v>429</v>
      </c>
      <c r="D140" s="109" t="s">
        <v>452</v>
      </c>
      <c r="E140" s="107" t="s">
        <v>145</v>
      </c>
      <c r="F140" s="107" t="s">
        <v>130</v>
      </c>
      <c r="G140" s="109" t="s">
        <v>136</v>
      </c>
    </row>
    <row r="141" spans="1:7" x14ac:dyDescent="0.3">
      <c r="A141" s="107">
        <v>137</v>
      </c>
      <c r="B141" s="108" t="s">
        <v>278</v>
      </c>
      <c r="C141" s="108" t="s">
        <v>430</v>
      </c>
      <c r="D141" s="109" t="s">
        <v>453</v>
      </c>
      <c r="E141" s="107" t="s">
        <v>125</v>
      </c>
      <c r="F141" s="107" t="s">
        <v>126</v>
      </c>
      <c r="G141" s="109" t="s">
        <v>138</v>
      </c>
    </row>
    <row r="142" spans="1:7" x14ac:dyDescent="0.3">
      <c r="A142" s="107">
        <v>138</v>
      </c>
      <c r="B142" s="108" t="s">
        <v>279</v>
      </c>
      <c r="C142" s="108" t="s">
        <v>431</v>
      </c>
      <c r="D142" s="109" t="s">
        <v>454</v>
      </c>
      <c r="E142" s="107" t="s">
        <v>125</v>
      </c>
      <c r="F142" s="107" t="s">
        <v>130</v>
      </c>
      <c r="G142" s="109" t="s">
        <v>141</v>
      </c>
    </row>
    <row r="143" spans="1:7" x14ac:dyDescent="0.3">
      <c r="A143" s="107">
        <v>139</v>
      </c>
      <c r="B143" s="108" t="s">
        <v>280</v>
      </c>
      <c r="C143" s="108" t="s">
        <v>432</v>
      </c>
      <c r="D143" s="109" t="s">
        <v>455</v>
      </c>
      <c r="E143" s="107" t="s">
        <v>129</v>
      </c>
      <c r="F143" s="107" t="s">
        <v>126</v>
      </c>
      <c r="G143" s="109" t="s">
        <v>143</v>
      </c>
    </row>
    <row r="144" spans="1:7" x14ac:dyDescent="0.3">
      <c r="A144" s="107">
        <v>140</v>
      </c>
      <c r="B144" s="108" t="s">
        <v>281</v>
      </c>
      <c r="C144" s="108" t="s">
        <v>433</v>
      </c>
      <c r="D144" s="109" t="s">
        <v>456</v>
      </c>
      <c r="E144" s="107" t="s">
        <v>129</v>
      </c>
      <c r="F144" s="107" t="s">
        <v>130</v>
      </c>
      <c r="G144" s="109" t="s">
        <v>146</v>
      </c>
    </row>
    <row r="145" spans="1:7" x14ac:dyDescent="0.3">
      <c r="A145" s="107">
        <v>141</v>
      </c>
      <c r="B145" s="108" t="s">
        <v>282</v>
      </c>
      <c r="C145" s="108" t="s">
        <v>434</v>
      </c>
      <c r="D145" s="109" t="s">
        <v>457</v>
      </c>
      <c r="E145" s="107" t="s">
        <v>135</v>
      </c>
      <c r="F145" s="107" t="s">
        <v>126</v>
      </c>
      <c r="G145" s="109" t="s">
        <v>148</v>
      </c>
    </row>
    <row r="146" spans="1:7" x14ac:dyDescent="0.3">
      <c r="A146" s="107">
        <v>142</v>
      </c>
      <c r="B146" s="108" t="s">
        <v>283</v>
      </c>
      <c r="C146" s="108" t="s">
        <v>435</v>
      </c>
      <c r="D146" s="109" t="s">
        <v>458</v>
      </c>
      <c r="E146" s="107" t="s">
        <v>135</v>
      </c>
      <c r="F146" s="107" t="s">
        <v>130</v>
      </c>
      <c r="G146" s="109" t="s">
        <v>150</v>
      </c>
    </row>
    <row r="147" spans="1:7" x14ac:dyDescent="0.3">
      <c r="A147" s="107">
        <v>143</v>
      </c>
      <c r="B147" s="108" t="s">
        <v>284</v>
      </c>
      <c r="C147" s="108" t="s">
        <v>436</v>
      </c>
      <c r="D147" s="109" t="s">
        <v>459</v>
      </c>
      <c r="E147" s="107" t="s">
        <v>140</v>
      </c>
      <c r="F147" s="107" t="s">
        <v>126</v>
      </c>
      <c r="G147" s="109" t="s">
        <v>152</v>
      </c>
    </row>
    <row r="148" spans="1:7" x14ac:dyDescent="0.3">
      <c r="A148" s="107">
        <v>144</v>
      </c>
      <c r="B148" s="108" t="s">
        <v>285</v>
      </c>
      <c r="C148" s="108" t="s">
        <v>437</v>
      </c>
      <c r="D148" s="109" t="s">
        <v>460</v>
      </c>
      <c r="E148" s="107" t="s">
        <v>140</v>
      </c>
      <c r="F148" s="107" t="s">
        <v>130</v>
      </c>
      <c r="G148" s="109" t="s">
        <v>154</v>
      </c>
    </row>
    <row r="149" spans="1:7" x14ac:dyDescent="0.3">
      <c r="A149" s="107">
        <v>145</v>
      </c>
      <c r="B149" s="108" t="s">
        <v>286</v>
      </c>
      <c r="C149" s="108" t="s">
        <v>438</v>
      </c>
      <c r="D149" s="109" t="s">
        <v>449</v>
      </c>
      <c r="E149" s="107" t="s">
        <v>145</v>
      </c>
      <c r="F149" s="107" t="s">
        <v>126</v>
      </c>
      <c r="G149" s="109" t="s">
        <v>127</v>
      </c>
    </row>
    <row r="150" spans="1:7" x14ac:dyDescent="0.3">
      <c r="A150" s="107">
        <v>146</v>
      </c>
      <c r="B150" s="108" t="s">
        <v>287</v>
      </c>
      <c r="C150" s="108" t="s">
        <v>439</v>
      </c>
      <c r="D150" s="109" t="s">
        <v>450</v>
      </c>
      <c r="E150" s="107" t="s">
        <v>145</v>
      </c>
      <c r="F150" s="107" t="s">
        <v>130</v>
      </c>
      <c r="G150" s="109" t="s">
        <v>131</v>
      </c>
    </row>
    <row r="151" spans="1:7" x14ac:dyDescent="0.3">
      <c r="A151" s="107">
        <v>147</v>
      </c>
      <c r="B151" s="108" t="s">
        <v>288</v>
      </c>
      <c r="C151" s="108" t="s">
        <v>440</v>
      </c>
      <c r="D151" s="109" t="s">
        <v>451</v>
      </c>
      <c r="E151" s="107" t="s">
        <v>125</v>
      </c>
      <c r="F151" s="107" t="s">
        <v>126</v>
      </c>
      <c r="G151" s="109" t="s">
        <v>133</v>
      </c>
    </row>
    <row r="152" spans="1:7" x14ac:dyDescent="0.3">
      <c r="A152" s="107">
        <v>148</v>
      </c>
      <c r="B152" s="108" t="s">
        <v>289</v>
      </c>
      <c r="C152" s="108" t="s">
        <v>441</v>
      </c>
      <c r="D152" s="109" t="s">
        <v>452</v>
      </c>
      <c r="E152" s="107" t="s">
        <v>125</v>
      </c>
      <c r="F152" s="107" t="s">
        <v>130</v>
      </c>
      <c r="G152" s="109" t="s">
        <v>136</v>
      </c>
    </row>
    <row r="153" spans="1:7" x14ac:dyDescent="0.3">
      <c r="A153" s="107">
        <v>149</v>
      </c>
      <c r="B153" s="108" t="s">
        <v>290</v>
      </c>
      <c r="C153" s="108" t="s">
        <v>442</v>
      </c>
      <c r="D153" s="109" t="s">
        <v>453</v>
      </c>
      <c r="E153" s="107" t="s">
        <v>129</v>
      </c>
      <c r="F153" s="107" t="s">
        <v>126</v>
      </c>
      <c r="G153" s="109" t="s">
        <v>138</v>
      </c>
    </row>
    <row r="154" spans="1:7" x14ac:dyDescent="0.3">
      <c r="A154" s="107">
        <v>150</v>
      </c>
      <c r="B154" s="108" t="s">
        <v>291</v>
      </c>
      <c r="C154" s="108" t="s">
        <v>443</v>
      </c>
      <c r="D154" s="109" t="s">
        <v>454</v>
      </c>
      <c r="E154" s="107" t="s">
        <v>129</v>
      </c>
      <c r="F154" s="107" t="s">
        <v>130</v>
      </c>
      <c r="G154" s="109" t="s">
        <v>141</v>
      </c>
    </row>
    <row r="155" spans="1:7" x14ac:dyDescent="0.3">
      <c r="A155" s="107">
        <v>151</v>
      </c>
      <c r="B155" s="108" t="s">
        <v>292</v>
      </c>
      <c r="C155" s="108" t="s">
        <v>444</v>
      </c>
      <c r="D155" s="109" t="s">
        <v>455</v>
      </c>
      <c r="E155" s="107" t="s">
        <v>135</v>
      </c>
      <c r="F155" s="107" t="s">
        <v>126</v>
      </c>
      <c r="G155" s="109" t="s">
        <v>143</v>
      </c>
    </row>
  </sheetData>
  <mergeCells count="2">
    <mergeCell ref="A1:G1"/>
    <mergeCell ref="B4:C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6773-C6F7-417A-9792-15FEB4A31F95}">
  <sheetPr codeName="Sheet2"/>
  <dimension ref="A1:O30"/>
  <sheetViews>
    <sheetView topLeftCell="L1" zoomScale="110" zoomScaleNormal="110" workbookViewId="0">
      <selection activeCell="M11" sqref="M11"/>
    </sheetView>
  </sheetViews>
  <sheetFormatPr defaultRowHeight="14.4" x14ac:dyDescent="0.3"/>
  <cols>
    <col min="1" max="1" width="4.6640625" customWidth="1"/>
    <col min="2" max="2" width="8.5546875" customWidth="1"/>
    <col min="3" max="3" width="63.6640625" customWidth="1"/>
    <col min="4" max="9" width="40.6640625" customWidth="1"/>
    <col min="10" max="12" width="35.6640625" customWidth="1"/>
    <col min="13" max="13" width="46.109375" customWidth="1"/>
    <col min="14" max="14" width="46.88671875" customWidth="1"/>
    <col min="15" max="15" width="33.44140625" customWidth="1"/>
  </cols>
  <sheetData>
    <row r="1" spans="1:15" x14ac:dyDescent="0.3">
      <c r="A1" t="s">
        <v>19</v>
      </c>
      <c r="B1" t="s">
        <v>20</v>
      </c>
      <c r="C1" t="s">
        <v>26</v>
      </c>
    </row>
    <row r="2" spans="1:15" ht="15.6" x14ac:dyDescent="0.3">
      <c r="A2" s="40"/>
      <c r="B2" s="41" t="s">
        <v>32</v>
      </c>
      <c r="C2" s="254" t="s">
        <v>33</v>
      </c>
      <c r="D2" s="254"/>
      <c r="E2" s="254"/>
      <c r="F2" s="254"/>
      <c r="G2" s="253" t="s">
        <v>36</v>
      </c>
      <c r="H2" s="253"/>
      <c r="I2" s="253"/>
      <c r="J2" s="42" t="s">
        <v>95</v>
      </c>
      <c r="K2" s="42" t="s">
        <v>102</v>
      </c>
      <c r="L2" s="42" t="s">
        <v>103</v>
      </c>
      <c r="M2" s="253" t="s">
        <v>104</v>
      </c>
      <c r="N2" s="253"/>
    </row>
    <row r="3" spans="1:15" x14ac:dyDescent="0.3">
      <c r="A3">
        <v>1</v>
      </c>
      <c r="B3" s="43" t="s">
        <v>21</v>
      </c>
      <c r="C3" s="44" t="s">
        <v>461</v>
      </c>
      <c r="D3" t="s">
        <v>462</v>
      </c>
      <c r="E3" t="s">
        <v>50</v>
      </c>
      <c r="F3" t="s">
        <v>30</v>
      </c>
      <c r="G3" s="45" t="s">
        <v>51</v>
      </c>
      <c r="H3" t="s">
        <v>52</v>
      </c>
      <c r="I3" t="s">
        <v>53</v>
      </c>
      <c r="J3" t="s">
        <v>97</v>
      </c>
      <c r="K3" t="s">
        <v>101</v>
      </c>
      <c r="L3" t="s">
        <v>100</v>
      </c>
      <c r="M3" t="s">
        <v>485</v>
      </c>
      <c r="N3" t="s">
        <v>498</v>
      </c>
      <c r="O3" t="s">
        <v>491</v>
      </c>
    </row>
    <row r="4" spans="1:15" x14ac:dyDescent="0.3">
      <c r="A4">
        <v>2</v>
      </c>
      <c r="B4" s="46" t="s">
        <v>22</v>
      </c>
      <c r="C4" s="44" t="s">
        <v>39</v>
      </c>
      <c r="D4" t="s">
        <v>472</v>
      </c>
      <c r="E4" t="s">
        <v>473</v>
      </c>
      <c r="F4" t="s">
        <v>46</v>
      </c>
      <c r="G4" s="45" t="s">
        <v>37</v>
      </c>
      <c r="H4" t="s">
        <v>48</v>
      </c>
      <c r="I4" t="s">
        <v>49</v>
      </c>
      <c r="J4" t="s">
        <v>98</v>
      </c>
      <c r="K4" t="s">
        <v>97</v>
      </c>
      <c r="L4" t="s">
        <v>99</v>
      </c>
      <c r="M4" t="s">
        <v>486</v>
      </c>
      <c r="N4" t="s">
        <v>499</v>
      </c>
      <c r="O4" t="s">
        <v>493</v>
      </c>
    </row>
    <row r="5" spans="1:15" x14ac:dyDescent="0.3">
      <c r="A5">
        <v>3</v>
      </c>
      <c r="B5" s="47" t="s">
        <v>23</v>
      </c>
      <c r="C5" s="44" t="s">
        <v>40</v>
      </c>
      <c r="D5" t="s">
        <v>58</v>
      </c>
      <c r="E5" t="s">
        <v>463</v>
      </c>
      <c r="F5" t="s">
        <v>57</v>
      </c>
      <c r="G5" t="s">
        <v>35</v>
      </c>
      <c r="H5" t="s">
        <v>55</v>
      </c>
      <c r="I5" t="s">
        <v>56</v>
      </c>
      <c r="J5" t="s">
        <v>99</v>
      </c>
      <c r="K5" t="s">
        <v>100</v>
      </c>
      <c r="L5" t="s">
        <v>97</v>
      </c>
      <c r="M5" t="s">
        <v>500</v>
      </c>
      <c r="N5" t="s">
        <v>501</v>
      </c>
      <c r="O5" t="s">
        <v>492</v>
      </c>
    </row>
    <row r="6" spans="1:15" x14ac:dyDescent="0.3">
      <c r="A6">
        <v>4</v>
      </c>
      <c r="B6" s="48" t="s">
        <v>24</v>
      </c>
      <c r="C6" s="44" t="s">
        <v>41</v>
      </c>
      <c r="D6" t="s">
        <v>464</v>
      </c>
      <c r="E6" t="s">
        <v>465</v>
      </c>
      <c r="F6" t="s">
        <v>59</v>
      </c>
      <c r="G6" t="s">
        <v>60</v>
      </c>
      <c r="H6" t="s">
        <v>38</v>
      </c>
      <c r="I6" t="s">
        <v>61</v>
      </c>
      <c r="J6" t="s">
        <v>100</v>
      </c>
      <c r="K6" t="s">
        <v>98</v>
      </c>
      <c r="L6" t="s">
        <v>101</v>
      </c>
      <c r="M6" t="s">
        <v>502</v>
      </c>
      <c r="N6" t="s">
        <v>503</v>
      </c>
      <c r="O6" t="s">
        <v>493</v>
      </c>
    </row>
    <row r="7" spans="1:15" x14ac:dyDescent="0.3">
      <c r="A7">
        <v>5</v>
      </c>
      <c r="B7" s="4" t="s">
        <v>25</v>
      </c>
      <c r="C7" s="44" t="s">
        <v>42</v>
      </c>
      <c r="D7" t="s">
        <v>466</v>
      </c>
      <c r="E7" t="s">
        <v>62</v>
      </c>
      <c r="F7" t="s">
        <v>63</v>
      </c>
      <c r="G7" s="45" t="s">
        <v>65</v>
      </c>
      <c r="H7" t="s">
        <v>64</v>
      </c>
      <c r="I7" t="s">
        <v>54</v>
      </c>
      <c r="J7" t="s">
        <v>101</v>
      </c>
      <c r="K7" t="s">
        <v>99</v>
      </c>
      <c r="L7" t="s">
        <v>98</v>
      </c>
      <c r="M7" t="s">
        <v>487</v>
      </c>
      <c r="N7" t="s">
        <v>494</v>
      </c>
      <c r="O7" t="s">
        <v>491</v>
      </c>
    </row>
    <row r="8" spans="1:15" x14ac:dyDescent="0.3">
      <c r="A8">
        <v>6</v>
      </c>
      <c r="B8" s="43" t="s">
        <v>21</v>
      </c>
      <c r="C8" s="44" t="s">
        <v>43</v>
      </c>
      <c r="D8" t="s">
        <v>44</v>
      </c>
      <c r="E8" t="s">
        <v>70</v>
      </c>
      <c r="F8" t="s">
        <v>67</v>
      </c>
      <c r="G8" s="45" t="s">
        <v>66</v>
      </c>
      <c r="H8" t="s">
        <v>68</v>
      </c>
      <c r="I8" t="s">
        <v>69</v>
      </c>
      <c r="J8" t="s">
        <v>97</v>
      </c>
      <c r="K8" t="s">
        <v>101</v>
      </c>
      <c r="L8" t="s">
        <v>100</v>
      </c>
      <c r="M8" t="s">
        <v>488</v>
      </c>
      <c r="N8" t="s">
        <v>495</v>
      </c>
      <c r="O8" t="s">
        <v>506</v>
      </c>
    </row>
    <row r="9" spans="1:15" x14ac:dyDescent="0.3">
      <c r="A9">
        <v>7</v>
      </c>
      <c r="B9" s="46" t="s">
        <v>22</v>
      </c>
      <c r="C9" s="44" t="s">
        <v>468</v>
      </c>
      <c r="D9" t="s">
        <v>71</v>
      </c>
      <c r="E9" t="s">
        <v>467</v>
      </c>
      <c r="F9" t="s">
        <v>72</v>
      </c>
      <c r="G9" s="44" t="s">
        <v>75</v>
      </c>
      <c r="H9" t="s">
        <v>74</v>
      </c>
      <c r="I9" t="s">
        <v>73</v>
      </c>
      <c r="J9" t="s">
        <v>98</v>
      </c>
      <c r="K9" t="s">
        <v>97</v>
      </c>
      <c r="L9" t="s">
        <v>99</v>
      </c>
      <c r="M9" t="s">
        <v>489</v>
      </c>
      <c r="N9" t="s">
        <v>496</v>
      </c>
      <c r="O9" t="s">
        <v>491</v>
      </c>
    </row>
    <row r="10" spans="1:15" x14ac:dyDescent="0.3">
      <c r="A10">
        <v>8</v>
      </c>
      <c r="B10" s="47" t="s">
        <v>23</v>
      </c>
      <c r="C10" s="44" t="s">
        <v>45</v>
      </c>
      <c r="D10" t="s">
        <v>471</v>
      </c>
      <c r="E10" t="s">
        <v>76</v>
      </c>
      <c r="F10" t="s">
        <v>469</v>
      </c>
      <c r="G10" s="45" t="s">
        <v>34</v>
      </c>
      <c r="H10" t="s">
        <v>77</v>
      </c>
      <c r="I10" t="s">
        <v>78</v>
      </c>
      <c r="J10" t="s">
        <v>99</v>
      </c>
      <c r="K10" t="s">
        <v>100</v>
      </c>
      <c r="L10" t="s">
        <v>97</v>
      </c>
      <c r="M10" t="s">
        <v>504</v>
      </c>
      <c r="N10" t="s">
        <v>505</v>
      </c>
      <c r="O10" t="s">
        <v>492</v>
      </c>
    </row>
    <row r="11" spans="1:15" x14ac:dyDescent="0.3">
      <c r="A11">
        <v>9</v>
      </c>
      <c r="B11" s="48" t="s">
        <v>24</v>
      </c>
      <c r="C11" s="44" t="s">
        <v>84</v>
      </c>
      <c r="D11" t="s">
        <v>83</v>
      </c>
      <c r="E11" t="s">
        <v>79</v>
      </c>
      <c r="F11" t="s">
        <v>470</v>
      </c>
      <c r="G11" s="45" t="s">
        <v>81</v>
      </c>
      <c r="H11" t="s">
        <v>82</v>
      </c>
      <c r="I11" t="s">
        <v>80</v>
      </c>
      <c r="J11" t="s">
        <v>100</v>
      </c>
      <c r="K11" t="s">
        <v>98</v>
      </c>
      <c r="L11" t="s">
        <v>101</v>
      </c>
      <c r="M11" t="s">
        <v>490</v>
      </c>
      <c r="N11" t="s">
        <v>497</v>
      </c>
      <c r="O11" t="s">
        <v>506</v>
      </c>
    </row>
    <row r="13" spans="1:15" x14ac:dyDescent="0.3">
      <c r="B13" t="s">
        <v>120</v>
      </c>
    </row>
    <row r="14" spans="1:15" x14ac:dyDescent="0.3">
      <c r="A14" t="s">
        <v>19</v>
      </c>
    </row>
    <row r="15" spans="1:15" x14ac:dyDescent="0.3">
      <c r="A15">
        <v>4</v>
      </c>
      <c r="C15" t="s">
        <v>474</v>
      </c>
    </row>
    <row r="16" spans="1:15" x14ac:dyDescent="0.3">
      <c r="A16">
        <v>5</v>
      </c>
      <c r="C16" t="s">
        <v>475</v>
      </c>
    </row>
    <row r="17" spans="1:5" x14ac:dyDescent="0.3">
      <c r="A17">
        <v>6</v>
      </c>
      <c r="C17" t="s">
        <v>590</v>
      </c>
    </row>
    <row r="18" spans="1:5" x14ac:dyDescent="0.3">
      <c r="A18">
        <v>7</v>
      </c>
      <c r="C18" t="s">
        <v>476</v>
      </c>
    </row>
    <row r="19" spans="1:5" x14ac:dyDescent="0.3">
      <c r="A19">
        <v>9</v>
      </c>
      <c r="C19" t="s">
        <v>591</v>
      </c>
    </row>
    <row r="21" spans="1:5" x14ac:dyDescent="0.3">
      <c r="B21" t="s">
        <v>480</v>
      </c>
      <c r="D21" t="s">
        <v>481</v>
      </c>
    </row>
    <row r="22" spans="1:5" x14ac:dyDescent="0.3">
      <c r="A22">
        <v>1</v>
      </c>
      <c r="C22" t="s">
        <v>512</v>
      </c>
      <c r="D22" t="s">
        <v>557</v>
      </c>
      <c r="E22" t="s">
        <v>558</v>
      </c>
    </row>
    <row r="23" spans="1:5" x14ac:dyDescent="0.3">
      <c r="A23">
        <v>2</v>
      </c>
      <c r="C23" t="s">
        <v>513</v>
      </c>
      <c r="D23" t="s">
        <v>551</v>
      </c>
      <c r="E23" s="44" t="s">
        <v>562</v>
      </c>
    </row>
    <row r="24" spans="1:5" x14ac:dyDescent="0.3">
      <c r="A24">
        <v>3</v>
      </c>
      <c r="C24" t="s">
        <v>477</v>
      </c>
      <c r="D24" t="s">
        <v>552</v>
      </c>
      <c r="E24" s="44" t="s">
        <v>562</v>
      </c>
    </row>
    <row r="25" spans="1:5" x14ac:dyDescent="0.3">
      <c r="A25">
        <v>4</v>
      </c>
      <c r="C25" t="s">
        <v>511</v>
      </c>
      <c r="D25" s="44" t="s">
        <v>553</v>
      </c>
      <c r="E25" s="44" t="s">
        <v>562</v>
      </c>
    </row>
    <row r="26" spans="1:5" x14ac:dyDescent="0.3">
      <c r="A26">
        <v>5</v>
      </c>
      <c r="C26" t="s">
        <v>509</v>
      </c>
      <c r="D26" t="s">
        <v>559</v>
      </c>
      <c r="E26" t="s">
        <v>560</v>
      </c>
    </row>
    <row r="27" spans="1:5" x14ac:dyDescent="0.3">
      <c r="A27">
        <v>6</v>
      </c>
      <c r="C27" t="s">
        <v>508</v>
      </c>
      <c r="D27" t="s">
        <v>552</v>
      </c>
      <c r="E27" s="44" t="s">
        <v>562</v>
      </c>
    </row>
    <row r="28" spans="1:5" x14ac:dyDescent="0.3">
      <c r="A28">
        <v>7</v>
      </c>
      <c r="C28" t="s">
        <v>510</v>
      </c>
      <c r="D28" t="s">
        <v>551</v>
      </c>
      <c r="E28" s="44" t="s">
        <v>562</v>
      </c>
    </row>
    <row r="29" spans="1:5" x14ac:dyDescent="0.3">
      <c r="A29">
        <v>8</v>
      </c>
      <c r="C29" t="s">
        <v>479</v>
      </c>
      <c r="D29" t="s">
        <v>554</v>
      </c>
      <c r="E29" t="s">
        <v>555</v>
      </c>
    </row>
    <row r="30" spans="1:5" x14ac:dyDescent="0.3">
      <c r="A30">
        <v>9</v>
      </c>
      <c r="C30" t="s">
        <v>478</v>
      </c>
      <c r="D30" t="s">
        <v>556</v>
      </c>
      <c r="E30" t="s">
        <v>561</v>
      </c>
    </row>
  </sheetData>
  <mergeCells count="3">
    <mergeCell ref="G2:I2"/>
    <mergeCell ref="C2:F2"/>
    <mergeCell ref="M2:N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41B1-60C0-4144-8685-582D85EA1FF3}">
  <sheetPr>
    <pageSetUpPr fitToPage="1"/>
  </sheetPr>
  <dimension ref="B2:O182"/>
  <sheetViews>
    <sheetView tabSelected="1" zoomScale="98" zoomScaleNormal="98" workbookViewId="0">
      <selection activeCell="C91" sqref="C91:G91"/>
    </sheetView>
  </sheetViews>
  <sheetFormatPr defaultRowHeight="14.4" x14ac:dyDescent="0.3"/>
  <cols>
    <col min="1" max="1" width="4.6640625" customWidth="1"/>
    <col min="2" max="2" width="9.109375" style="1"/>
    <col min="3" max="3" width="47.44140625" customWidth="1"/>
    <col min="4" max="15" width="35.6640625" customWidth="1"/>
    <col min="16" max="16" width="4.6640625" customWidth="1"/>
  </cols>
  <sheetData>
    <row r="2" spans="2:15" x14ac:dyDescent="0.3">
      <c r="C2" t="s">
        <v>579</v>
      </c>
      <c r="D2" t="s">
        <v>578</v>
      </c>
    </row>
    <row r="3" spans="2:15" x14ac:dyDescent="0.3">
      <c r="C3" t="s">
        <v>569</v>
      </c>
      <c r="D3" t="s">
        <v>576</v>
      </c>
    </row>
    <row r="4" spans="2:15" x14ac:dyDescent="0.3">
      <c r="C4" t="s">
        <v>573</v>
      </c>
      <c r="D4" t="s">
        <v>575</v>
      </c>
    </row>
    <row r="5" spans="2:15" x14ac:dyDescent="0.3">
      <c r="C5" t="s">
        <v>570</v>
      </c>
      <c r="D5" t="s">
        <v>574</v>
      </c>
    </row>
    <row r="6" spans="2:15" x14ac:dyDescent="0.3">
      <c r="C6" t="s">
        <v>568</v>
      </c>
      <c r="D6" t="s">
        <v>572</v>
      </c>
    </row>
    <row r="7" spans="2:15" x14ac:dyDescent="0.3">
      <c r="C7" t="s">
        <v>571</v>
      </c>
      <c r="D7" t="s">
        <v>577</v>
      </c>
    </row>
    <row r="10" spans="2:15" ht="24.6" thickBot="1" x14ac:dyDescent="0.4">
      <c r="B10" s="119" t="s">
        <v>587</v>
      </c>
      <c r="C10" s="119"/>
      <c r="D10" s="119"/>
      <c r="E10" s="119"/>
      <c r="F10" s="119"/>
      <c r="G10" s="119"/>
      <c r="H10" s="119"/>
      <c r="I10" s="119"/>
      <c r="J10" s="119"/>
      <c r="K10" s="119"/>
      <c r="L10" s="119"/>
      <c r="M10" s="119"/>
      <c r="N10" s="119"/>
      <c r="O10" s="119"/>
    </row>
    <row r="11" spans="2:15" ht="20.100000000000001" customHeight="1" thickBot="1" x14ac:dyDescent="0.35">
      <c r="B11" s="122" t="s">
        <v>588</v>
      </c>
      <c r="C11" s="120" t="s">
        <v>589</v>
      </c>
      <c r="D11" s="120"/>
      <c r="E11" s="120"/>
      <c r="F11" s="120"/>
      <c r="G11" s="121"/>
    </row>
    <row r="12" spans="2:15" ht="20.100000000000001" customHeight="1" x14ac:dyDescent="0.3">
      <c r="B12" s="123">
        <v>112</v>
      </c>
      <c r="C12" s="262" t="s">
        <v>598</v>
      </c>
      <c r="D12" s="262"/>
      <c r="E12" s="262"/>
      <c r="F12" s="262"/>
      <c r="G12" s="263"/>
    </row>
    <row r="13" spans="2:15" ht="20.100000000000001" customHeight="1" x14ac:dyDescent="0.3">
      <c r="B13" s="124">
        <v>123</v>
      </c>
      <c r="C13" s="258" t="s">
        <v>599</v>
      </c>
      <c r="D13" s="259"/>
      <c r="E13" s="259"/>
      <c r="F13" s="259"/>
      <c r="G13" s="260"/>
    </row>
    <row r="14" spans="2:15" ht="20.100000000000001" customHeight="1" x14ac:dyDescent="0.3">
      <c r="B14" s="123">
        <v>213</v>
      </c>
      <c r="C14" s="261" t="s">
        <v>600</v>
      </c>
      <c r="D14" s="262"/>
      <c r="E14" s="262"/>
      <c r="F14" s="262"/>
      <c r="G14" s="263"/>
    </row>
    <row r="15" spans="2:15" ht="20.100000000000001" customHeight="1" x14ac:dyDescent="0.3">
      <c r="B15" s="124">
        <v>134</v>
      </c>
      <c r="C15" s="259" t="s">
        <v>601</v>
      </c>
      <c r="D15" s="259"/>
      <c r="E15" s="259"/>
      <c r="F15" s="259"/>
      <c r="G15" s="260"/>
    </row>
    <row r="16" spans="2:15" ht="20.100000000000001" customHeight="1" x14ac:dyDescent="0.3">
      <c r="B16" s="123">
        <v>314</v>
      </c>
      <c r="C16" s="262" t="s">
        <v>602</v>
      </c>
      <c r="D16" s="262"/>
      <c r="E16" s="262"/>
      <c r="F16" s="262"/>
      <c r="G16" s="263"/>
    </row>
    <row r="17" spans="2:7" ht="20.100000000000001" customHeight="1" x14ac:dyDescent="0.3">
      <c r="B17" s="124">
        <v>145</v>
      </c>
      <c r="C17" s="259" t="s">
        <v>603</v>
      </c>
      <c r="D17" s="259"/>
      <c r="E17" s="259"/>
      <c r="F17" s="259"/>
      <c r="G17" s="260"/>
    </row>
    <row r="18" spans="2:7" ht="20.100000000000001" customHeight="1" x14ac:dyDescent="0.3">
      <c r="B18" s="123">
        <v>415</v>
      </c>
      <c r="C18" s="262" t="s">
        <v>604</v>
      </c>
      <c r="D18" s="262"/>
      <c r="E18" s="262"/>
      <c r="F18" s="262"/>
      <c r="G18" s="263"/>
    </row>
    <row r="19" spans="2:7" ht="20.100000000000001" customHeight="1" x14ac:dyDescent="0.3">
      <c r="B19" s="124">
        <v>156</v>
      </c>
      <c r="C19" s="259" t="s">
        <v>606</v>
      </c>
      <c r="D19" s="259"/>
      <c r="E19" s="259"/>
      <c r="F19" s="259"/>
      <c r="G19" s="260"/>
    </row>
    <row r="20" spans="2:7" ht="20.100000000000001" customHeight="1" x14ac:dyDescent="0.3">
      <c r="B20" s="123">
        <v>516</v>
      </c>
      <c r="C20" s="262" t="s">
        <v>605</v>
      </c>
      <c r="D20" s="262"/>
      <c r="E20" s="262"/>
      <c r="F20" s="262"/>
      <c r="G20" s="263"/>
    </row>
    <row r="21" spans="2:7" ht="20.100000000000001" customHeight="1" x14ac:dyDescent="0.3">
      <c r="B21" s="124">
        <v>167</v>
      </c>
      <c r="C21" s="259" t="s">
        <v>607</v>
      </c>
      <c r="D21" s="259"/>
      <c r="E21" s="259"/>
      <c r="F21" s="259"/>
      <c r="G21" s="260"/>
    </row>
    <row r="22" spans="2:7" ht="20.100000000000001" customHeight="1" x14ac:dyDescent="0.3">
      <c r="B22" s="123">
        <v>617</v>
      </c>
      <c r="C22" s="262" t="s">
        <v>608</v>
      </c>
      <c r="D22" s="262"/>
      <c r="E22" s="262"/>
      <c r="F22" s="262"/>
      <c r="G22" s="263"/>
    </row>
    <row r="23" spans="2:7" ht="20.100000000000001" customHeight="1" x14ac:dyDescent="0.3">
      <c r="B23" s="124">
        <v>178</v>
      </c>
      <c r="C23" s="259" t="s">
        <v>609</v>
      </c>
      <c r="D23" s="259"/>
      <c r="E23" s="259"/>
      <c r="F23" s="259"/>
      <c r="G23" s="260"/>
    </row>
    <row r="24" spans="2:7" ht="20.100000000000001" customHeight="1" x14ac:dyDescent="0.3">
      <c r="B24" s="123">
        <v>718</v>
      </c>
      <c r="C24" s="262" t="s">
        <v>610</v>
      </c>
      <c r="D24" s="262"/>
      <c r="E24" s="262"/>
      <c r="F24" s="262"/>
      <c r="G24" s="263"/>
    </row>
    <row r="25" spans="2:7" ht="20.100000000000001" customHeight="1" x14ac:dyDescent="0.3">
      <c r="B25" s="124">
        <v>189</v>
      </c>
      <c r="C25" s="259" t="s">
        <v>611</v>
      </c>
      <c r="D25" s="259"/>
      <c r="E25" s="259"/>
      <c r="F25" s="259"/>
      <c r="G25" s="260"/>
    </row>
    <row r="26" spans="2:7" ht="20.100000000000001" customHeight="1" x14ac:dyDescent="0.3">
      <c r="B26" s="123">
        <v>819</v>
      </c>
      <c r="C26" s="262" t="s">
        <v>612</v>
      </c>
      <c r="D26" s="262"/>
      <c r="E26" s="262"/>
      <c r="F26" s="262"/>
      <c r="G26" s="263"/>
    </row>
    <row r="27" spans="2:7" ht="20.100000000000001" customHeight="1" x14ac:dyDescent="0.3">
      <c r="B27" s="125">
        <v>191</v>
      </c>
      <c r="C27" s="256" t="s">
        <v>613</v>
      </c>
      <c r="D27" s="256"/>
      <c r="E27" s="256"/>
      <c r="F27" s="256"/>
      <c r="G27" s="257"/>
    </row>
    <row r="28" spans="2:7" ht="20.100000000000001" customHeight="1" x14ac:dyDescent="0.3">
      <c r="B28" s="125">
        <v>224</v>
      </c>
      <c r="C28" s="256" t="s">
        <v>614</v>
      </c>
      <c r="D28" s="256"/>
      <c r="E28" s="256"/>
      <c r="F28" s="256"/>
      <c r="G28" s="257"/>
    </row>
    <row r="29" spans="2:7" ht="20.100000000000001" customHeight="1" x14ac:dyDescent="0.3">
      <c r="B29" s="124">
        <v>235</v>
      </c>
      <c r="C29" s="259" t="s">
        <v>615</v>
      </c>
      <c r="D29" s="259"/>
      <c r="E29" s="259"/>
      <c r="F29" s="259"/>
      <c r="G29" s="260"/>
    </row>
    <row r="30" spans="2:7" ht="20.100000000000001" customHeight="1" x14ac:dyDescent="0.3">
      <c r="B30" s="123">
        <v>325</v>
      </c>
      <c r="C30" s="262" t="s">
        <v>616</v>
      </c>
      <c r="D30" s="262"/>
      <c r="E30" s="262"/>
      <c r="F30" s="262"/>
      <c r="G30" s="263"/>
    </row>
    <row r="31" spans="2:7" ht="20.100000000000001" customHeight="1" x14ac:dyDescent="0.3">
      <c r="B31" s="124">
        <v>246</v>
      </c>
      <c r="C31" s="258" t="s">
        <v>617</v>
      </c>
      <c r="D31" s="259"/>
      <c r="E31" s="259"/>
      <c r="F31" s="259"/>
      <c r="G31" s="260"/>
    </row>
    <row r="32" spans="2:7" ht="20.100000000000001" customHeight="1" x14ac:dyDescent="0.3">
      <c r="B32" s="123">
        <v>426</v>
      </c>
      <c r="C32" s="261" t="s">
        <v>618</v>
      </c>
      <c r="D32" s="262"/>
      <c r="E32" s="262"/>
      <c r="F32" s="262"/>
      <c r="G32" s="263"/>
    </row>
    <row r="33" spans="2:7" ht="20.100000000000001" customHeight="1" x14ac:dyDescent="0.3">
      <c r="B33" s="124">
        <v>257</v>
      </c>
      <c r="C33" s="258" t="s">
        <v>619</v>
      </c>
      <c r="D33" s="259"/>
      <c r="E33" s="259"/>
      <c r="F33" s="259"/>
      <c r="G33" s="260"/>
    </row>
    <row r="34" spans="2:7" ht="20.100000000000001" customHeight="1" x14ac:dyDescent="0.3">
      <c r="B34" s="123">
        <v>527</v>
      </c>
      <c r="C34" s="261" t="s">
        <v>620</v>
      </c>
      <c r="D34" s="262"/>
      <c r="E34" s="262"/>
      <c r="F34" s="262"/>
      <c r="G34" s="263"/>
    </row>
    <row r="35" spans="2:7" ht="20.100000000000001" customHeight="1" x14ac:dyDescent="0.3">
      <c r="B35" s="124">
        <v>268</v>
      </c>
      <c r="C35" s="258" t="s">
        <v>621</v>
      </c>
      <c r="D35" s="259"/>
      <c r="E35" s="259"/>
      <c r="F35" s="259"/>
      <c r="G35" s="260"/>
    </row>
    <row r="36" spans="2:7" ht="20.100000000000001" customHeight="1" x14ac:dyDescent="0.3">
      <c r="B36" s="123">
        <v>628</v>
      </c>
      <c r="C36" s="261" t="s">
        <v>622</v>
      </c>
      <c r="D36" s="262"/>
      <c r="E36" s="262"/>
      <c r="F36" s="262"/>
      <c r="G36" s="263"/>
    </row>
    <row r="37" spans="2:7" ht="20.100000000000001" customHeight="1" x14ac:dyDescent="0.3">
      <c r="B37" s="124">
        <v>279</v>
      </c>
      <c r="C37" s="258" t="s">
        <v>623</v>
      </c>
      <c r="D37" s="259"/>
      <c r="E37" s="259"/>
      <c r="F37" s="259"/>
      <c r="G37" s="260"/>
    </row>
    <row r="38" spans="2:7" ht="20.100000000000001" customHeight="1" x14ac:dyDescent="0.3">
      <c r="B38" s="123">
        <v>729</v>
      </c>
      <c r="C38" s="261" t="s">
        <v>624</v>
      </c>
      <c r="D38" s="262"/>
      <c r="E38" s="262"/>
      <c r="F38" s="262"/>
      <c r="G38" s="263"/>
    </row>
    <row r="39" spans="2:7" ht="20.100000000000001" customHeight="1" x14ac:dyDescent="0.3">
      <c r="B39" s="124">
        <v>281</v>
      </c>
      <c r="C39" s="258" t="s">
        <v>625</v>
      </c>
      <c r="D39" s="259"/>
      <c r="E39" s="259"/>
      <c r="F39" s="259"/>
      <c r="G39" s="260"/>
    </row>
    <row r="40" spans="2:7" ht="20.100000000000001" customHeight="1" x14ac:dyDescent="0.3">
      <c r="B40" s="123">
        <v>821</v>
      </c>
      <c r="C40" s="261" t="s">
        <v>626</v>
      </c>
      <c r="D40" s="262"/>
      <c r="E40" s="262"/>
      <c r="F40" s="262"/>
      <c r="G40" s="263"/>
    </row>
    <row r="41" spans="2:7" ht="20.100000000000001" customHeight="1" x14ac:dyDescent="0.3">
      <c r="B41" s="125">
        <v>292</v>
      </c>
      <c r="C41" s="255" t="s">
        <v>627</v>
      </c>
      <c r="D41" s="256"/>
      <c r="E41" s="256"/>
      <c r="F41" s="256"/>
      <c r="G41" s="257"/>
    </row>
    <row r="42" spans="2:7" ht="20.100000000000001" customHeight="1" x14ac:dyDescent="0.3">
      <c r="B42" s="125">
        <v>336</v>
      </c>
      <c r="C42" s="255" t="s">
        <v>628</v>
      </c>
      <c r="D42" s="256"/>
      <c r="E42" s="256"/>
      <c r="F42" s="256"/>
      <c r="G42" s="257"/>
    </row>
    <row r="43" spans="2:7" ht="20.100000000000001" customHeight="1" x14ac:dyDescent="0.3">
      <c r="B43" s="124">
        <v>347</v>
      </c>
      <c r="C43" s="258" t="s">
        <v>629</v>
      </c>
      <c r="D43" s="259"/>
      <c r="E43" s="259"/>
      <c r="F43" s="259"/>
      <c r="G43" s="260"/>
    </row>
    <row r="44" spans="2:7" ht="20.100000000000001" customHeight="1" x14ac:dyDescent="0.3">
      <c r="B44" s="123">
        <v>437</v>
      </c>
      <c r="C44" s="261" t="s">
        <v>630</v>
      </c>
      <c r="D44" s="262"/>
      <c r="E44" s="262"/>
      <c r="F44" s="262"/>
      <c r="G44" s="263"/>
    </row>
    <row r="45" spans="2:7" ht="20.100000000000001" customHeight="1" x14ac:dyDescent="0.3">
      <c r="B45" s="124">
        <v>358</v>
      </c>
      <c r="C45" s="258" t="s">
        <v>631</v>
      </c>
      <c r="D45" s="259"/>
      <c r="E45" s="259"/>
      <c r="F45" s="259"/>
      <c r="G45" s="260"/>
    </row>
    <row r="46" spans="2:7" ht="20.100000000000001" customHeight="1" x14ac:dyDescent="0.3">
      <c r="B46" s="123">
        <v>538</v>
      </c>
      <c r="C46" s="261" t="s">
        <v>632</v>
      </c>
      <c r="D46" s="262"/>
      <c r="E46" s="262"/>
      <c r="F46" s="262"/>
      <c r="G46" s="263"/>
    </row>
    <row r="47" spans="2:7" ht="20.100000000000001" customHeight="1" x14ac:dyDescent="0.3">
      <c r="B47" s="124">
        <v>369</v>
      </c>
      <c r="C47" s="258" t="s">
        <v>633</v>
      </c>
      <c r="D47" s="259"/>
      <c r="E47" s="259"/>
      <c r="F47" s="259"/>
      <c r="G47" s="260"/>
    </row>
    <row r="48" spans="2:7" ht="20.100000000000001" customHeight="1" x14ac:dyDescent="0.3">
      <c r="B48" s="123">
        <v>639</v>
      </c>
      <c r="C48" s="261" t="s">
        <v>634</v>
      </c>
      <c r="D48" s="262"/>
      <c r="E48" s="262"/>
      <c r="F48" s="262"/>
      <c r="G48" s="263"/>
    </row>
    <row r="49" spans="2:7" ht="20.100000000000001" customHeight="1" x14ac:dyDescent="0.3">
      <c r="B49" s="124">
        <v>371</v>
      </c>
      <c r="C49" s="258" t="s">
        <v>635</v>
      </c>
      <c r="D49" s="259"/>
      <c r="E49" s="259"/>
      <c r="F49" s="259"/>
      <c r="G49" s="260"/>
    </row>
    <row r="50" spans="2:7" ht="20.100000000000001" customHeight="1" x14ac:dyDescent="0.3">
      <c r="B50" s="123">
        <v>731</v>
      </c>
      <c r="C50" s="261" t="s">
        <v>636</v>
      </c>
      <c r="D50" s="262"/>
      <c r="E50" s="262"/>
      <c r="F50" s="262"/>
      <c r="G50" s="263"/>
    </row>
    <row r="51" spans="2:7" ht="20.100000000000001" customHeight="1" x14ac:dyDescent="0.3">
      <c r="B51" s="124">
        <v>382</v>
      </c>
      <c r="C51" s="258" t="s">
        <v>637</v>
      </c>
      <c r="D51" s="259"/>
      <c r="E51" s="259"/>
      <c r="F51" s="259"/>
      <c r="G51" s="260"/>
    </row>
    <row r="52" spans="2:7" ht="20.100000000000001" customHeight="1" x14ac:dyDescent="0.3">
      <c r="B52" s="123">
        <v>832</v>
      </c>
      <c r="C52" s="261" t="s">
        <v>638</v>
      </c>
      <c r="D52" s="262"/>
      <c r="E52" s="262"/>
      <c r="F52" s="262"/>
      <c r="G52" s="263"/>
    </row>
    <row r="53" spans="2:7" ht="20.100000000000001" customHeight="1" x14ac:dyDescent="0.3">
      <c r="B53" s="125">
        <v>393</v>
      </c>
      <c r="C53" s="255" t="s">
        <v>639</v>
      </c>
      <c r="D53" s="256"/>
      <c r="E53" s="256"/>
      <c r="F53" s="256"/>
      <c r="G53" s="257"/>
    </row>
    <row r="54" spans="2:7" ht="20.100000000000001" customHeight="1" x14ac:dyDescent="0.3">
      <c r="B54" s="125">
        <v>448</v>
      </c>
      <c r="C54" s="255" t="s">
        <v>640</v>
      </c>
      <c r="D54" s="256"/>
      <c r="E54" s="256"/>
      <c r="F54" s="256"/>
      <c r="G54" s="257"/>
    </row>
    <row r="55" spans="2:7" ht="20.100000000000001" customHeight="1" x14ac:dyDescent="0.3">
      <c r="B55" s="124">
        <v>459</v>
      </c>
      <c r="C55" s="258" t="s">
        <v>641</v>
      </c>
      <c r="D55" s="259"/>
      <c r="E55" s="259"/>
      <c r="F55" s="259"/>
      <c r="G55" s="260"/>
    </row>
    <row r="56" spans="2:7" ht="20.100000000000001" customHeight="1" x14ac:dyDescent="0.3">
      <c r="B56" s="123">
        <v>549</v>
      </c>
      <c r="C56" s="261" t="s">
        <v>642</v>
      </c>
      <c r="D56" s="262"/>
      <c r="E56" s="262"/>
      <c r="F56" s="262"/>
      <c r="G56" s="263"/>
    </row>
    <row r="57" spans="2:7" ht="20.100000000000001" customHeight="1" x14ac:dyDescent="0.3">
      <c r="B57" s="124">
        <v>461</v>
      </c>
      <c r="C57" s="258" t="s">
        <v>643</v>
      </c>
      <c r="D57" s="259"/>
      <c r="E57" s="259"/>
      <c r="F57" s="259"/>
      <c r="G57" s="260"/>
    </row>
    <row r="58" spans="2:7" ht="20.100000000000001" customHeight="1" x14ac:dyDescent="0.3">
      <c r="B58" s="123">
        <v>641</v>
      </c>
      <c r="C58" s="261" t="s">
        <v>644</v>
      </c>
      <c r="D58" s="262"/>
      <c r="E58" s="262"/>
      <c r="F58" s="262"/>
      <c r="G58" s="263"/>
    </row>
    <row r="59" spans="2:7" ht="20.100000000000001" customHeight="1" x14ac:dyDescent="0.3">
      <c r="B59" s="124">
        <v>472</v>
      </c>
      <c r="C59" s="258" t="s">
        <v>645</v>
      </c>
      <c r="D59" s="259"/>
      <c r="E59" s="259"/>
      <c r="F59" s="259"/>
      <c r="G59" s="260"/>
    </row>
    <row r="60" spans="2:7" ht="20.100000000000001" customHeight="1" x14ac:dyDescent="0.3">
      <c r="B60" s="123">
        <v>742</v>
      </c>
      <c r="C60" s="261" t="s">
        <v>646</v>
      </c>
      <c r="D60" s="262"/>
      <c r="E60" s="262"/>
      <c r="F60" s="262"/>
      <c r="G60" s="263"/>
    </row>
    <row r="61" spans="2:7" ht="20.100000000000001" customHeight="1" x14ac:dyDescent="0.3">
      <c r="B61" s="124">
        <v>483</v>
      </c>
      <c r="C61" s="258" t="s">
        <v>647</v>
      </c>
      <c r="D61" s="259"/>
      <c r="E61" s="259"/>
      <c r="F61" s="259"/>
      <c r="G61" s="260"/>
    </row>
    <row r="62" spans="2:7" ht="20.100000000000001" customHeight="1" x14ac:dyDescent="0.3">
      <c r="B62" s="123">
        <v>843</v>
      </c>
      <c r="C62" s="261" t="s">
        <v>648</v>
      </c>
      <c r="D62" s="262"/>
      <c r="E62" s="262"/>
      <c r="F62" s="262"/>
      <c r="G62" s="263"/>
    </row>
    <row r="63" spans="2:7" ht="20.100000000000001" customHeight="1" x14ac:dyDescent="0.3">
      <c r="B63" s="125">
        <v>494</v>
      </c>
      <c r="C63" s="255" t="s">
        <v>649</v>
      </c>
      <c r="D63" s="256"/>
      <c r="E63" s="256"/>
      <c r="F63" s="256"/>
      <c r="G63" s="257"/>
    </row>
    <row r="64" spans="2:7" ht="20.100000000000001" customHeight="1" x14ac:dyDescent="0.3">
      <c r="B64" s="125">
        <v>551</v>
      </c>
      <c r="C64" s="255" t="s">
        <v>650</v>
      </c>
      <c r="D64" s="256"/>
      <c r="E64" s="256"/>
      <c r="F64" s="256"/>
      <c r="G64" s="257"/>
    </row>
    <row r="65" spans="2:7" ht="20.100000000000001" customHeight="1" x14ac:dyDescent="0.3">
      <c r="B65" s="124">
        <v>562</v>
      </c>
      <c r="C65" s="258" t="s">
        <v>592</v>
      </c>
      <c r="D65" s="259"/>
      <c r="E65" s="259"/>
      <c r="F65" s="259"/>
      <c r="G65" s="260"/>
    </row>
    <row r="66" spans="2:7" ht="20.100000000000001" customHeight="1" x14ac:dyDescent="0.3">
      <c r="B66" s="123">
        <v>652</v>
      </c>
      <c r="C66" s="261" t="s">
        <v>651</v>
      </c>
      <c r="D66" s="262"/>
      <c r="E66" s="262"/>
      <c r="F66" s="262"/>
      <c r="G66" s="263"/>
    </row>
    <row r="67" spans="2:7" ht="20.100000000000001" customHeight="1" x14ac:dyDescent="0.3">
      <c r="B67" s="124">
        <v>573</v>
      </c>
      <c r="C67" s="258" t="s">
        <v>652</v>
      </c>
      <c r="D67" s="259"/>
      <c r="E67" s="259"/>
      <c r="F67" s="259"/>
      <c r="G67" s="260"/>
    </row>
    <row r="68" spans="2:7" ht="20.100000000000001" customHeight="1" x14ac:dyDescent="0.3">
      <c r="B68" s="123">
        <v>753</v>
      </c>
      <c r="C68" s="261" t="s">
        <v>653</v>
      </c>
      <c r="D68" s="262"/>
      <c r="E68" s="262"/>
      <c r="F68" s="262"/>
      <c r="G68" s="263"/>
    </row>
    <row r="69" spans="2:7" ht="20.100000000000001" customHeight="1" x14ac:dyDescent="0.3">
      <c r="B69" s="124">
        <v>584</v>
      </c>
      <c r="C69" s="258" t="s">
        <v>654</v>
      </c>
      <c r="D69" s="259"/>
      <c r="E69" s="259"/>
      <c r="F69" s="259"/>
      <c r="G69" s="260"/>
    </row>
    <row r="70" spans="2:7" ht="20.100000000000001" customHeight="1" x14ac:dyDescent="0.3">
      <c r="B70" s="123">
        <v>854</v>
      </c>
      <c r="C70" s="261" t="s">
        <v>655</v>
      </c>
      <c r="D70" s="262"/>
      <c r="E70" s="262"/>
      <c r="F70" s="262"/>
      <c r="G70" s="263"/>
    </row>
    <row r="71" spans="2:7" ht="20.100000000000001" customHeight="1" x14ac:dyDescent="0.3">
      <c r="B71" s="125">
        <v>595</v>
      </c>
      <c r="C71" s="255" t="s">
        <v>656</v>
      </c>
      <c r="D71" s="256"/>
      <c r="E71" s="256"/>
      <c r="F71" s="256"/>
      <c r="G71" s="257"/>
    </row>
    <row r="72" spans="2:7" ht="20.100000000000001" customHeight="1" x14ac:dyDescent="0.3">
      <c r="B72" s="125">
        <v>663</v>
      </c>
      <c r="C72" s="255" t="s">
        <v>657</v>
      </c>
      <c r="D72" s="256"/>
      <c r="E72" s="256"/>
      <c r="F72" s="256"/>
      <c r="G72" s="257"/>
    </row>
    <row r="73" spans="2:7" ht="20.100000000000001" customHeight="1" x14ac:dyDescent="0.3">
      <c r="B73" s="124">
        <v>674</v>
      </c>
      <c r="C73" s="258" t="s">
        <v>658</v>
      </c>
      <c r="D73" s="259"/>
      <c r="E73" s="259"/>
      <c r="F73" s="259"/>
      <c r="G73" s="260"/>
    </row>
    <row r="74" spans="2:7" ht="20.100000000000001" customHeight="1" x14ac:dyDescent="0.3">
      <c r="B74" s="123">
        <v>764</v>
      </c>
      <c r="C74" s="261" t="s">
        <v>659</v>
      </c>
      <c r="D74" s="262"/>
      <c r="E74" s="262"/>
      <c r="F74" s="262"/>
      <c r="G74" s="263"/>
    </row>
    <row r="75" spans="2:7" ht="20.100000000000001" customHeight="1" x14ac:dyDescent="0.3">
      <c r="B75" s="124">
        <v>685</v>
      </c>
      <c r="C75" s="258" t="s">
        <v>660</v>
      </c>
      <c r="D75" s="259"/>
      <c r="E75" s="259"/>
      <c r="F75" s="259"/>
      <c r="G75" s="260"/>
    </row>
    <row r="76" spans="2:7" ht="20.100000000000001" customHeight="1" x14ac:dyDescent="0.3">
      <c r="B76" s="123">
        <v>865</v>
      </c>
      <c r="C76" s="258" t="s">
        <v>661</v>
      </c>
      <c r="D76" s="259"/>
      <c r="E76" s="259"/>
      <c r="F76" s="259"/>
      <c r="G76" s="260"/>
    </row>
    <row r="77" spans="2:7" ht="20.100000000000001" customHeight="1" x14ac:dyDescent="0.3">
      <c r="B77" s="125">
        <v>696</v>
      </c>
      <c r="C77" s="255" t="s">
        <v>662</v>
      </c>
      <c r="D77" s="256"/>
      <c r="E77" s="256"/>
      <c r="F77" s="256"/>
      <c r="G77" s="257"/>
    </row>
    <row r="78" spans="2:7" ht="20.100000000000001" customHeight="1" x14ac:dyDescent="0.3">
      <c r="B78" s="125">
        <v>775</v>
      </c>
      <c r="C78" s="255" t="s">
        <v>663</v>
      </c>
      <c r="D78" s="256"/>
      <c r="E78" s="256"/>
      <c r="F78" s="256"/>
      <c r="G78" s="257"/>
    </row>
    <row r="79" spans="2:7" ht="20.100000000000001" customHeight="1" x14ac:dyDescent="0.3">
      <c r="B79" s="124">
        <v>786</v>
      </c>
      <c r="C79" s="258" t="s">
        <v>664</v>
      </c>
      <c r="D79" s="259"/>
      <c r="E79" s="259"/>
      <c r="F79" s="259"/>
      <c r="G79" s="260"/>
    </row>
    <row r="80" spans="2:7" ht="20.100000000000001" customHeight="1" x14ac:dyDescent="0.3">
      <c r="B80" s="123">
        <v>876</v>
      </c>
      <c r="C80" s="258" t="s">
        <v>665</v>
      </c>
      <c r="D80" s="259"/>
      <c r="E80" s="259"/>
      <c r="F80" s="259"/>
      <c r="G80" s="260"/>
    </row>
    <row r="81" spans="2:7" ht="20.100000000000001" customHeight="1" x14ac:dyDescent="0.3">
      <c r="B81" s="125">
        <v>797</v>
      </c>
      <c r="C81" s="255" t="s">
        <v>666</v>
      </c>
      <c r="D81" s="256"/>
      <c r="E81" s="256"/>
      <c r="F81" s="256"/>
      <c r="G81" s="257"/>
    </row>
    <row r="82" spans="2:7" ht="20.100000000000001" customHeight="1" x14ac:dyDescent="0.3">
      <c r="B82" s="125">
        <v>887</v>
      </c>
      <c r="C82" s="255" t="s">
        <v>667</v>
      </c>
      <c r="D82" s="256"/>
      <c r="E82" s="256"/>
      <c r="F82" s="256"/>
      <c r="G82" s="257"/>
    </row>
    <row r="83" spans="2:7" ht="20.100000000000001" customHeight="1" x14ac:dyDescent="0.3">
      <c r="B83" s="125">
        <v>898</v>
      </c>
      <c r="C83" s="255" t="s">
        <v>668</v>
      </c>
      <c r="D83" s="256"/>
      <c r="E83" s="256"/>
      <c r="F83" s="256"/>
      <c r="G83" s="257"/>
    </row>
    <row r="84" spans="2:7" ht="20.100000000000001" customHeight="1" x14ac:dyDescent="0.3">
      <c r="B84" s="125">
        <v>911</v>
      </c>
      <c r="C84" s="255" t="s">
        <v>613</v>
      </c>
      <c r="D84" s="256"/>
      <c r="E84" s="256"/>
      <c r="F84" s="256"/>
      <c r="G84" s="257"/>
    </row>
    <row r="85" spans="2:7" ht="20.100000000000001" customHeight="1" x14ac:dyDescent="0.3">
      <c r="B85" s="125">
        <v>922</v>
      </c>
      <c r="C85" s="255" t="s">
        <v>675</v>
      </c>
      <c r="D85" s="256"/>
      <c r="E85" s="256"/>
      <c r="F85" s="256"/>
      <c r="G85" s="257"/>
    </row>
    <row r="86" spans="2:7" ht="20.100000000000001" customHeight="1" x14ac:dyDescent="0.3">
      <c r="B86" s="125">
        <v>933</v>
      </c>
      <c r="C86" s="255" t="s">
        <v>669</v>
      </c>
      <c r="D86" s="256"/>
      <c r="E86" s="256"/>
      <c r="F86" s="256"/>
      <c r="G86" s="257"/>
    </row>
    <row r="87" spans="2:7" ht="20.100000000000001" customHeight="1" x14ac:dyDescent="0.3">
      <c r="B87" s="125">
        <v>944</v>
      </c>
      <c r="C87" s="255" t="s">
        <v>670</v>
      </c>
      <c r="D87" s="256"/>
      <c r="E87" s="256"/>
      <c r="F87" s="256"/>
      <c r="G87" s="257"/>
    </row>
    <row r="88" spans="2:7" ht="20.100000000000001" customHeight="1" x14ac:dyDescent="0.3">
      <c r="B88" s="125">
        <v>955</v>
      </c>
      <c r="C88" s="255" t="s">
        <v>671</v>
      </c>
      <c r="D88" s="256"/>
      <c r="E88" s="256"/>
      <c r="F88" s="256"/>
      <c r="G88" s="257"/>
    </row>
    <row r="89" spans="2:7" ht="20.100000000000001" customHeight="1" x14ac:dyDescent="0.3">
      <c r="B89" s="125">
        <v>966</v>
      </c>
      <c r="C89" s="255" t="s">
        <v>672</v>
      </c>
      <c r="D89" s="256"/>
      <c r="E89" s="256"/>
      <c r="F89" s="256"/>
      <c r="G89" s="257"/>
    </row>
    <row r="90" spans="2:7" ht="20.100000000000001" customHeight="1" x14ac:dyDescent="0.3">
      <c r="B90" s="125">
        <v>977</v>
      </c>
      <c r="C90" s="255" t="s">
        <v>666</v>
      </c>
      <c r="D90" s="256"/>
      <c r="E90" s="256"/>
      <c r="F90" s="256"/>
      <c r="G90" s="257"/>
    </row>
    <row r="91" spans="2:7" ht="20.100000000000001" customHeight="1" x14ac:dyDescent="0.3">
      <c r="B91" s="125">
        <v>988</v>
      </c>
      <c r="C91" s="255" t="s">
        <v>673</v>
      </c>
      <c r="D91" s="256"/>
      <c r="E91" s="256"/>
      <c r="F91" s="256"/>
      <c r="G91" s="257"/>
    </row>
    <row r="92" spans="2:7" ht="20.100000000000001" customHeight="1" x14ac:dyDescent="0.3">
      <c r="B92" s="125">
        <v>999</v>
      </c>
      <c r="C92" s="255" t="s">
        <v>674</v>
      </c>
      <c r="D92" s="256"/>
      <c r="E92" s="256"/>
      <c r="F92" s="256"/>
      <c r="G92" s="257"/>
    </row>
    <row r="98" spans="2:15" ht="24" x14ac:dyDescent="0.35">
      <c r="B98" s="264" t="s">
        <v>567</v>
      </c>
      <c r="C98" s="264"/>
      <c r="D98" s="264"/>
      <c r="E98" s="264"/>
      <c r="F98" s="264"/>
      <c r="G98" s="264"/>
      <c r="H98" s="264"/>
      <c r="I98" s="264"/>
      <c r="J98" s="264"/>
      <c r="K98" s="264"/>
      <c r="L98" s="264"/>
      <c r="M98" s="264"/>
      <c r="N98" s="264"/>
      <c r="O98" s="264"/>
    </row>
    <row r="99" spans="2:15" ht="15" thickBot="1" x14ac:dyDescent="0.35"/>
    <row r="100" spans="2:15" x14ac:dyDescent="0.3">
      <c r="B100" s="88"/>
      <c r="C100" s="92">
        <v>1</v>
      </c>
      <c r="D100" s="90">
        <v>2</v>
      </c>
      <c r="E100" s="90">
        <v>3</v>
      </c>
      <c r="F100" s="90">
        <v>4</v>
      </c>
      <c r="G100" s="90">
        <v>5</v>
      </c>
      <c r="H100" s="90">
        <v>6</v>
      </c>
      <c r="I100" s="90">
        <v>7</v>
      </c>
      <c r="J100" s="90">
        <v>8</v>
      </c>
      <c r="K100" s="90">
        <v>9</v>
      </c>
      <c r="L100" s="90">
        <v>10</v>
      </c>
      <c r="M100" s="90">
        <v>11</v>
      </c>
      <c r="N100" s="90">
        <v>12</v>
      </c>
      <c r="O100" s="91">
        <v>13</v>
      </c>
    </row>
    <row r="101" spans="2:15" ht="15" thickBot="1" x14ac:dyDescent="0.35">
      <c r="B101" s="95"/>
      <c r="C101" s="104" t="s">
        <v>548</v>
      </c>
      <c r="D101" s="105" t="s">
        <v>549</v>
      </c>
      <c r="E101" s="105" t="s">
        <v>550</v>
      </c>
      <c r="F101" s="105" t="s">
        <v>8</v>
      </c>
      <c r="G101" s="105" t="s">
        <v>9</v>
      </c>
      <c r="H101" s="105" t="s">
        <v>10</v>
      </c>
      <c r="I101" s="105" t="s">
        <v>563</v>
      </c>
      <c r="J101" s="105" t="s">
        <v>564</v>
      </c>
      <c r="K101" s="105" t="s">
        <v>13</v>
      </c>
      <c r="L101" s="105" t="s">
        <v>565</v>
      </c>
      <c r="M101" s="105" t="s">
        <v>566</v>
      </c>
      <c r="N101" s="105" t="s">
        <v>16</v>
      </c>
      <c r="O101" s="106" t="s">
        <v>17</v>
      </c>
    </row>
    <row r="102" spans="2:15" ht="20.100000000000001" customHeight="1" thickTop="1" x14ac:dyDescent="0.3">
      <c r="B102" s="96">
        <v>112</v>
      </c>
      <c r="C102" s="93"/>
      <c r="D102" s="89"/>
      <c r="E102" s="89"/>
      <c r="F102" s="89"/>
      <c r="G102" s="89"/>
      <c r="H102" s="89"/>
      <c r="I102" s="89"/>
      <c r="J102" s="89"/>
      <c r="K102" s="89"/>
      <c r="L102" s="89"/>
      <c r="M102" s="89"/>
      <c r="N102" s="89"/>
      <c r="O102" s="101"/>
    </row>
    <row r="103" spans="2:15" ht="20.100000000000001" customHeight="1" x14ac:dyDescent="0.3">
      <c r="B103" s="97">
        <v>123</v>
      </c>
      <c r="C103" s="94"/>
      <c r="D103" s="80"/>
      <c r="E103" s="80"/>
      <c r="F103" s="80"/>
      <c r="G103" s="80"/>
      <c r="H103" s="80"/>
      <c r="I103" s="80"/>
      <c r="J103" s="80"/>
      <c r="K103" s="80"/>
      <c r="L103" s="80"/>
      <c r="M103" s="80"/>
      <c r="N103" s="80"/>
      <c r="O103" s="102"/>
    </row>
    <row r="104" spans="2:15" ht="20.100000000000001" customHeight="1" x14ac:dyDescent="0.3">
      <c r="B104" s="97">
        <v>134</v>
      </c>
      <c r="C104" s="94"/>
      <c r="D104" s="80"/>
      <c r="E104" s="80"/>
      <c r="F104" s="80"/>
      <c r="G104" s="80"/>
      <c r="H104" s="80"/>
      <c r="I104" s="80"/>
      <c r="J104" s="80"/>
      <c r="K104" s="80"/>
      <c r="L104" s="80"/>
      <c r="M104" s="80"/>
      <c r="N104" s="80"/>
      <c r="O104" s="102"/>
    </row>
    <row r="105" spans="2:15" ht="20.100000000000001" customHeight="1" x14ac:dyDescent="0.3">
      <c r="B105" s="97">
        <v>145</v>
      </c>
      <c r="C105" s="94"/>
      <c r="D105" s="80"/>
      <c r="E105" s="80"/>
      <c r="F105" s="80"/>
      <c r="G105" s="80"/>
      <c r="H105" s="80"/>
      <c r="I105" s="80"/>
      <c r="J105" s="80"/>
      <c r="K105" s="80"/>
      <c r="L105" s="80"/>
      <c r="M105" s="80"/>
      <c r="N105" s="80"/>
      <c r="O105" s="102"/>
    </row>
    <row r="106" spans="2:15" ht="20.100000000000001" customHeight="1" x14ac:dyDescent="0.3">
      <c r="B106" s="97">
        <v>156</v>
      </c>
      <c r="C106" s="94"/>
      <c r="D106" s="80"/>
      <c r="E106" s="80"/>
      <c r="F106" s="80"/>
      <c r="G106" s="80"/>
      <c r="H106" s="80"/>
      <c r="I106" s="80"/>
      <c r="J106" s="80"/>
      <c r="K106" s="80"/>
      <c r="L106" s="80"/>
      <c r="M106" s="80"/>
      <c r="N106" s="80"/>
      <c r="O106" s="102"/>
    </row>
    <row r="107" spans="2:15" ht="20.100000000000001" customHeight="1" x14ac:dyDescent="0.3">
      <c r="B107" s="97">
        <v>167</v>
      </c>
      <c r="C107" s="94"/>
      <c r="D107" s="80"/>
      <c r="E107" s="80"/>
      <c r="F107" s="80"/>
      <c r="G107" s="80"/>
      <c r="H107" s="80"/>
      <c r="I107" s="80"/>
      <c r="J107" s="80"/>
      <c r="K107" s="80"/>
      <c r="L107" s="80"/>
      <c r="M107" s="80"/>
      <c r="N107" s="80"/>
      <c r="O107" s="102"/>
    </row>
    <row r="108" spans="2:15" ht="20.100000000000001" customHeight="1" x14ac:dyDescent="0.3">
      <c r="B108" s="97">
        <v>178</v>
      </c>
      <c r="C108" s="94"/>
      <c r="D108" s="80"/>
      <c r="E108" s="80"/>
      <c r="F108" s="80"/>
      <c r="G108" s="80"/>
      <c r="H108" s="80"/>
      <c r="I108" s="80"/>
      <c r="J108" s="80"/>
      <c r="K108" s="80"/>
      <c r="L108" s="80"/>
      <c r="M108" s="80"/>
      <c r="N108" s="80"/>
      <c r="O108" s="102"/>
    </row>
    <row r="109" spans="2:15" ht="20.100000000000001" customHeight="1" x14ac:dyDescent="0.3">
      <c r="B109" s="97">
        <v>189</v>
      </c>
      <c r="C109" s="94"/>
      <c r="D109" s="80"/>
      <c r="E109" s="80"/>
      <c r="F109" s="80"/>
      <c r="G109" s="80"/>
      <c r="H109" s="80"/>
      <c r="I109" s="80"/>
      <c r="J109" s="80"/>
      <c r="K109" s="80"/>
      <c r="L109" s="80"/>
      <c r="M109" s="80"/>
      <c r="N109" s="80"/>
      <c r="O109" s="102"/>
    </row>
    <row r="110" spans="2:15" ht="20.100000000000001" customHeight="1" x14ac:dyDescent="0.3">
      <c r="B110" s="97">
        <v>191</v>
      </c>
      <c r="C110" s="94"/>
      <c r="D110" s="80"/>
      <c r="E110" s="80"/>
      <c r="F110" s="80"/>
      <c r="G110" s="80"/>
      <c r="H110" s="80"/>
      <c r="I110" s="80"/>
      <c r="J110" s="80"/>
      <c r="K110" s="80"/>
      <c r="L110" s="80"/>
      <c r="M110" s="80"/>
      <c r="N110" s="80"/>
      <c r="O110" s="102"/>
    </row>
    <row r="111" spans="2:15" ht="20.100000000000001" customHeight="1" x14ac:dyDescent="0.3">
      <c r="B111" s="97">
        <v>213</v>
      </c>
      <c r="C111" s="94"/>
      <c r="D111" s="80"/>
      <c r="E111" s="80"/>
      <c r="F111" s="80"/>
      <c r="G111" s="80"/>
      <c r="H111" s="80"/>
      <c r="I111" s="80"/>
      <c r="J111" s="80"/>
      <c r="K111" s="80"/>
      <c r="L111" s="80"/>
      <c r="M111" s="80"/>
      <c r="N111" s="80"/>
      <c r="O111" s="102"/>
    </row>
    <row r="112" spans="2:15" ht="20.100000000000001" customHeight="1" x14ac:dyDescent="0.3">
      <c r="B112" s="97">
        <v>224</v>
      </c>
      <c r="C112" s="94"/>
      <c r="D112" s="80"/>
      <c r="E112" s="80"/>
      <c r="F112" s="80"/>
      <c r="G112" s="80"/>
      <c r="H112" s="80"/>
      <c r="I112" s="80"/>
      <c r="J112" s="80"/>
      <c r="K112" s="80"/>
      <c r="L112" s="80"/>
      <c r="M112" s="80"/>
      <c r="N112" s="80"/>
      <c r="O112" s="102"/>
    </row>
    <row r="113" spans="2:15" ht="20.100000000000001" customHeight="1" x14ac:dyDescent="0.3">
      <c r="B113" s="97">
        <v>235</v>
      </c>
      <c r="C113" s="94"/>
      <c r="D113" s="80"/>
      <c r="E113" s="80"/>
      <c r="F113" s="80"/>
      <c r="G113" s="80"/>
      <c r="H113" s="80"/>
      <c r="I113" s="80"/>
      <c r="J113" s="80"/>
      <c r="K113" s="80"/>
      <c r="L113" s="80"/>
      <c r="M113" s="80"/>
      <c r="N113" s="80"/>
      <c r="O113" s="102"/>
    </row>
    <row r="114" spans="2:15" ht="20.100000000000001" customHeight="1" x14ac:dyDescent="0.3">
      <c r="B114" s="97">
        <v>246</v>
      </c>
      <c r="C114" s="94"/>
      <c r="D114" s="80"/>
      <c r="E114" s="80"/>
      <c r="F114" s="80"/>
      <c r="G114" s="80"/>
      <c r="H114" s="80"/>
      <c r="I114" s="80"/>
      <c r="J114" s="80"/>
      <c r="K114" s="80"/>
      <c r="L114" s="80"/>
      <c r="M114" s="80"/>
      <c r="N114" s="80"/>
      <c r="O114" s="102"/>
    </row>
    <row r="115" spans="2:15" ht="20.100000000000001" customHeight="1" x14ac:dyDescent="0.3">
      <c r="B115" s="97">
        <v>257</v>
      </c>
      <c r="C115" s="94"/>
      <c r="D115" s="80"/>
      <c r="E115" s="80"/>
      <c r="F115" s="80"/>
      <c r="G115" s="80"/>
      <c r="H115" s="80"/>
      <c r="I115" s="80"/>
      <c r="J115" s="80"/>
      <c r="K115" s="80"/>
      <c r="L115" s="80"/>
      <c r="M115" s="80"/>
      <c r="N115" s="80"/>
      <c r="O115" s="102"/>
    </row>
    <row r="116" spans="2:15" ht="20.100000000000001" customHeight="1" x14ac:dyDescent="0.3">
      <c r="B116" s="97">
        <v>268</v>
      </c>
      <c r="C116" s="94"/>
      <c r="D116" s="80"/>
      <c r="E116" s="80"/>
      <c r="F116" s="80"/>
      <c r="G116" s="80"/>
      <c r="H116" s="80"/>
      <c r="I116" s="80"/>
      <c r="J116" s="80"/>
      <c r="K116" s="80"/>
      <c r="L116" s="80"/>
      <c r="M116" s="80"/>
      <c r="N116" s="80"/>
      <c r="O116" s="102"/>
    </row>
    <row r="117" spans="2:15" ht="20.100000000000001" customHeight="1" x14ac:dyDescent="0.3">
      <c r="B117" s="97">
        <v>279</v>
      </c>
      <c r="C117" s="94"/>
      <c r="D117" s="80"/>
      <c r="E117" s="80"/>
      <c r="F117" s="80"/>
      <c r="G117" s="80"/>
      <c r="H117" s="80"/>
      <c r="I117" s="80"/>
      <c r="J117" s="80"/>
      <c r="K117" s="80"/>
      <c r="L117" s="80"/>
      <c r="M117" s="80"/>
      <c r="N117" s="80"/>
      <c r="O117" s="102"/>
    </row>
    <row r="118" spans="2:15" ht="20.100000000000001" customHeight="1" x14ac:dyDescent="0.3">
      <c r="B118" s="97">
        <v>281</v>
      </c>
      <c r="C118" s="94"/>
      <c r="D118" s="80"/>
      <c r="E118" s="80"/>
      <c r="F118" s="80"/>
      <c r="G118" s="80"/>
      <c r="H118" s="80"/>
      <c r="I118" s="80"/>
      <c r="J118" s="80"/>
      <c r="K118" s="80"/>
      <c r="L118" s="80"/>
      <c r="M118" s="80"/>
      <c r="N118" s="80"/>
      <c r="O118" s="102"/>
    </row>
    <row r="119" spans="2:15" ht="20.100000000000001" customHeight="1" x14ac:dyDescent="0.3">
      <c r="B119" s="97">
        <v>292</v>
      </c>
      <c r="C119" s="94"/>
      <c r="D119" s="80"/>
      <c r="E119" s="80"/>
      <c r="F119" s="80"/>
      <c r="G119" s="80"/>
      <c r="H119" s="80"/>
      <c r="I119" s="80"/>
      <c r="J119" s="80"/>
      <c r="K119" s="80"/>
      <c r="L119" s="80"/>
      <c r="M119" s="80"/>
      <c r="N119" s="80"/>
      <c r="O119" s="102"/>
    </row>
    <row r="120" spans="2:15" ht="20.100000000000001" customHeight="1" x14ac:dyDescent="0.3">
      <c r="B120" s="97">
        <v>314</v>
      </c>
      <c r="C120" s="94"/>
      <c r="D120" s="80"/>
      <c r="E120" s="80"/>
      <c r="F120" s="80"/>
      <c r="G120" s="80"/>
      <c r="H120" s="80"/>
      <c r="I120" s="80"/>
      <c r="J120" s="80"/>
      <c r="K120" s="80"/>
      <c r="L120" s="80"/>
      <c r="M120" s="80"/>
      <c r="N120" s="80"/>
      <c r="O120" s="102"/>
    </row>
    <row r="121" spans="2:15" ht="20.100000000000001" customHeight="1" x14ac:dyDescent="0.3">
      <c r="B121" s="97">
        <v>325</v>
      </c>
      <c r="C121" s="94"/>
      <c r="D121" s="80"/>
      <c r="E121" s="80"/>
      <c r="F121" s="80"/>
      <c r="G121" s="80"/>
      <c r="H121" s="80"/>
      <c r="I121" s="80"/>
      <c r="J121" s="80"/>
      <c r="K121" s="80"/>
      <c r="L121" s="80"/>
      <c r="M121" s="80"/>
      <c r="N121" s="80"/>
      <c r="O121" s="102"/>
    </row>
    <row r="122" spans="2:15" ht="20.100000000000001" customHeight="1" x14ac:dyDescent="0.3">
      <c r="B122" s="97">
        <v>336</v>
      </c>
      <c r="C122" s="94"/>
      <c r="D122" s="80"/>
      <c r="E122" s="80"/>
      <c r="F122" s="80"/>
      <c r="G122" s="80"/>
      <c r="H122" s="80"/>
      <c r="I122" s="80"/>
      <c r="J122" s="80"/>
      <c r="K122" s="80"/>
      <c r="L122" s="80"/>
      <c r="M122" s="80"/>
      <c r="N122" s="80"/>
      <c r="O122" s="102"/>
    </row>
    <row r="123" spans="2:15" ht="20.100000000000001" customHeight="1" x14ac:dyDescent="0.3">
      <c r="B123" s="97">
        <v>347</v>
      </c>
      <c r="C123" s="94"/>
      <c r="D123" s="80"/>
      <c r="E123" s="80"/>
      <c r="F123" s="80"/>
      <c r="G123" s="80"/>
      <c r="H123" s="80"/>
      <c r="I123" s="80"/>
      <c r="J123" s="80"/>
      <c r="K123" s="80"/>
      <c r="L123" s="80"/>
      <c r="M123" s="80"/>
      <c r="N123" s="80"/>
      <c r="O123" s="102"/>
    </row>
    <row r="124" spans="2:15" ht="20.100000000000001" customHeight="1" x14ac:dyDescent="0.3">
      <c r="B124" s="97">
        <v>358</v>
      </c>
      <c r="C124" s="94"/>
      <c r="D124" s="80"/>
      <c r="E124" s="80"/>
      <c r="F124" s="80"/>
      <c r="G124" s="80"/>
      <c r="H124" s="80"/>
      <c r="I124" s="80"/>
      <c r="J124" s="80"/>
      <c r="K124" s="80"/>
      <c r="L124" s="80"/>
      <c r="M124" s="80"/>
      <c r="N124" s="80"/>
      <c r="O124" s="102"/>
    </row>
    <row r="125" spans="2:15" ht="20.100000000000001" customHeight="1" x14ac:dyDescent="0.3">
      <c r="B125" s="97">
        <v>369</v>
      </c>
      <c r="C125" s="94"/>
      <c r="D125" s="80"/>
      <c r="E125" s="80"/>
      <c r="F125" s="80"/>
      <c r="G125" s="80"/>
      <c r="H125" s="80"/>
      <c r="I125" s="80"/>
      <c r="J125" s="80"/>
      <c r="K125" s="80"/>
      <c r="L125" s="80"/>
      <c r="M125" s="80"/>
      <c r="N125" s="80"/>
      <c r="O125" s="102"/>
    </row>
    <row r="126" spans="2:15" ht="20.100000000000001" customHeight="1" x14ac:dyDescent="0.3">
      <c r="B126" s="97">
        <v>371</v>
      </c>
      <c r="C126" s="94"/>
      <c r="D126" s="80"/>
      <c r="E126" s="80"/>
      <c r="F126" s="80"/>
      <c r="G126" s="80"/>
      <c r="H126" s="80"/>
      <c r="I126" s="80"/>
      <c r="J126" s="80"/>
      <c r="K126" s="80"/>
      <c r="L126" s="80"/>
      <c r="M126" s="80"/>
      <c r="N126" s="80"/>
      <c r="O126" s="102"/>
    </row>
    <row r="127" spans="2:15" ht="20.100000000000001" customHeight="1" x14ac:dyDescent="0.3">
      <c r="B127" s="97">
        <v>382</v>
      </c>
      <c r="C127" s="94"/>
      <c r="D127" s="80"/>
      <c r="E127" s="80"/>
      <c r="F127" s="80"/>
      <c r="G127" s="80"/>
      <c r="H127" s="80"/>
      <c r="I127" s="80"/>
      <c r="J127" s="80"/>
      <c r="K127" s="80"/>
      <c r="L127" s="80"/>
      <c r="M127" s="80"/>
      <c r="N127" s="80"/>
      <c r="O127" s="102"/>
    </row>
    <row r="128" spans="2:15" ht="20.100000000000001" customHeight="1" x14ac:dyDescent="0.3">
      <c r="B128" s="97">
        <v>393</v>
      </c>
      <c r="C128" s="94"/>
      <c r="D128" s="80"/>
      <c r="E128" s="80"/>
      <c r="F128" s="80"/>
      <c r="G128" s="80"/>
      <c r="H128" s="80"/>
      <c r="I128" s="80"/>
      <c r="J128" s="80"/>
      <c r="K128" s="80"/>
      <c r="L128" s="80"/>
      <c r="M128" s="80"/>
      <c r="N128" s="80"/>
      <c r="O128" s="102"/>
    </row>
    <row r="129" spans="2:15" ht="20.100000000000001" customHeight="1" x14ac:dyDescent="0.3">
      <c r="B129" s="97">
        <v>415</v>
      </c>
      <c r="C129" s="94"/>
      <c r="D129" s="80"/>
      <c r="E129" s="80"/>
      <c r="F129" s="80"/>
      <c r="G129" s="80"/>
      <c r="H129" s="80"/>
      <c r="I129" s="80"/>
      <c r="J129" s="80"/>
      <c r="K129" s="80"/>
      <c r="L129" s="80"/>
      <c r="M129" s="80"/>
      <c r="N129" s="80"/>
      <c r="O129" s="102"/>
    </row>
    <row r="130" spans="2:15" ht="20.100000000000001" customHeight="1" x14ac:dyDescent="0.3">
      <c r="B130" s="97">
        <v>426</v>
      </c>
      <c r="C130" s="94"/>
      <c r="D130" s="80"/>
      <c r="E130" s="80"/>
      <c r="F130" s="80"/>
      <c r="G130" s="80"/>
      <c r="H130" s="80"/>
      <c r="I130" s="80"/>
      <c r="J130" s="80"/>
      <c r="K130" s="80"/>
      <c r="L130" s="80"/>
      <c r="M130" s="80"/>
      <c r="N130" s="80"/>
      <c r="O130" s="102"/>
    </row>
    <row r="131" spans="2:15" ht="20.100000000000001" customHeight="1" x14ac:dyDescent="0.3">
      <c r="B131" s="97">
        <v>437</v>
      </c>
      <c r="C131" s="94"/>
      <c r="D131" s="80"/>
      <c r="E131" s="80"/>
      <c r="F131" s="80"/>
      <c r="G131" s="80"/>
      <c r="H131" s="80"/>
      <c r="I131" s="80"/>
      <c r="J131" s="80"/>
      <c r="K131" s="80"/>
      <c r="L131" s="80"/>
      <c r="M131" s="80"/>
      <c r="N131" s="80"/>
      <c r="O131" s="102"/>
    </row>
    <row r="132" spans="2:15" ht="20.100000000000001" customHeight="1" x14ac:dyDescent="0.3">
      <c r="B132" s="97">
        <v>448</v>
      </c>
      <c r="C132" s="94"/>
      <c r="D132" s="80"/>
      <c r="E132" s="80"/>
      <c r="F132" s="80"/>
      <c r="G132" s="80"/>
      <c r="H132" s="80"/>
      <c r="I132" s="80"/>
      <c r="J132" s="80"/>
      <c r="K132" s="80"/>
      <c r="L132" s="80"/>
      <c r="M132" s="80"/>
      <c r="N132" s="80"/>
      <c r="O132" s="102"/>
    </row>
    <row r="133" spans="2:15" ht="20.100000000000001" customHeight="1" x14ac:dyDescent="0.3">
      <c r="B133" s="97">
        <v>459</v>
      </c>
      <c r="C133" s="94"/>
      <c r="D133" s="80"/>
      <c r="E133" s="80"/>
      <c r="F133" s="80"/>
      <c r="G133" s="80"/>
      <c r="H133" s="80"/>
      <c r="I133" s="80"/>
      <c r="J133" s="80"/>
      <c r="K133" s="80"/>
      <c r="L133" s="80"/>
      <c r="M133" s="80"/>
      <c r="N133" s="80"/>
      <c r="O133" s="102"/>
    </row>
    <row r="134" spans="2:15" ht="20.100000000000001" customHeight="1" x14ac:dyDescent="0.3">
      <c r="B134" s="97">
        <v>461</v>
      </c>
      <c r="C134" s="94"/>
      <c r="D134" s="80"/>
      <c r="E134" s="80"/>
      <c r="F134" s="80"/>
      <c r="G134" s="80"/>
      <c r="H134" s="80"/>
      <c r="I134" s="80"/>
      <c r="J134" s="80"/>
      <c r="K134" s="80"/>
      <c r="L134" s="80"/>
      <c r="M134" s="80"/>
      <c r="N134" s="80"/>
      <c r="O134" s="102"/>
    </row>
    <row r="135" spans="2:15" ht="20.100000000000001" customHeight="1" x14ac:dyDescent="0.3">
      <c r="B135" s="97">
        <v>472</v>
      </c>
      <c r="C135" s="94"/>
      <c r="D135" s="80"/>
      <c r="E135" s="80"/>
      <c r="F135" s="80"/>
      <c r="G135" s="80"/>
      <c r="H135" s="80"/>
      <c r="I135" s="80"/>
      <c r="J135" s="80"/>
      <c r="K135" s="80"/>
      <c r="L135" s="80"/>
      <c r="M135" s="80"/>
      <c r="N135" s="80"/>
      <c r="O135" s="102"/>
    </row>
    <row r="136" spans="2:15" ht="20.100000000000001" customHeight="1" x14ac:dyDescent="0.3">
      <c r="B136" s="97">
        <v>483</v>
      </c>
      <c r="C136" s="94"/>
      <c r="D136" s="80"/>
      <c r="E136" s="80"/>
      <c r="F136" s="80"/>
      <c r="G136" s="80"/>
      <c r="H136" s="80"/>
      <c r="I136" s="80"/>
      <c r="J136" s="80"/>
      <c r="K136" s="80"/>
      <c r="L136" s="80"/>
      <c r="M136" s="80"/>
      <c r="N136" s="80"/>
      <c r="O136" s="102"/>
    </row>
    <row r="137" spans="2:15" ht="20.100000000000001" customHeight="1" x14ac:dyDescent="0.3">
      <c r="B137" s="97">
        <v>494</v>
      </c>
      <c r="C137" s="94"/>
      <c r="D137" s="80"/>
      <c r="E137" s="80"/>
      <c r="F137" s="80"/>
      <c r="G137" s="80"/>
      <c r="H137" s="80"/>
      <c r="I137" s="80"/>
      <c r="J137" s="80"/>
      <c r="K137" s="80"/>
      <c r="L137" s="80"/>
      <c r="M137" s="80"/>
      <c r="N137" s="80"/>
      <c r="O137" s="102"/>
    </row>
    <row r="138" spans="2:15" ht="20.100000000000001" customHeight="1" x14ac:dyDescent="0.3">
      <c r="B138" s="97">
        <v>516</v>
      </c>
      <c r="C138" s="94"/>
      <c r="D138" s="80"/>
      <c r="E138" s="80"/>
      <c r="F138" s="80"/>
      <c r="G138" s="80"/>
      <c r="H138" s="80"/>
      <c r="I138" s="80"/>
      <c r="J138" s="80"/>
      <c r="K138" s="80"/>
      <c r="L138" s="80"/>
      <c r="M138" s="80"/>
      <c r="N138" s="80"/>
      <c r="O138" s="102"/>
    </row>
    <row r="139" spans="2:15" ht="20.100000000000001" customHeight="1" x14ac:dyDescent="0.3">
      <c r="B139" s="97">
        <v>527</v>
      </c>
      <c r="C139" s="94"/>
      <c r="D139" s="80"/>
      <c r="E139" s="80"/>
      <c r="F139" s="80"/>
      <c r="G139" s="80"/>
      <c r="H139" s="80"/>
      <c r="I139" s="80"/>
      <c r="J139" s="80"/>
      <c r="K139" s="80"/>
      <c r="L139" s="80"/>
      <c r="M139" s="80"/>
      <c r="N139" s="80"/>
      <c r="O139" s="102"/>
    </row>
    <row r="140" spans="2:15" ht="20.100000000000001" customHeight="1" x14ac:dyDescent="0.3">
      <c r="B140" s="97">
        <v>538</v>
      </c>
      <c r="C140" s="94"/>
      <c r="D140" s="80"/>
      <c r="E140" s="80"/>
      <c r="F140" s="80"/>
      <c r="G140" s="80"/>
      <c r="H140" s="80"/>
      <c r="I140" s="80"/>
      <c r="J140" s="80"/>
      <c r="K140" s="80"/>
      <c r="L140" s="80"/>
      <c r="M140" s="80"/>
      <c r="N140" s="80"/>
      <c r="O140" s="102"/>
    </row>
    <row r="141" spans="2:15" ht="20.100000000000001" customHeight="1" x14ac:dyDescent="0.3">
      <c r="B141" s="97">
        <v>549</v>
      </c>
      <c r="C141" s="94"/>
      <c r="D141" s="80"/>
      <c r="E141" s="80"/>
      <c r="F141" s="80"/>
      <c r="G141" s="80"/>
      <c r="H141" s="80"/>
      <c r="I141" s="80"/>
      <c r="J141" s="80"/>
      <c r="K141" s="80"/>
      <c r="L141" s="80"/>
      <c r="M141" s="80"/>
      <c r="N141" s="80"/>
      <c r="O141" s="102"/>
    </row>
    <row r="142" spans="2:15" ht="20.100000000000001" customHeight="1" x14ac:dyDescent="0.3">
      <c r="B142" s="97">
        <v>551</v>
      </c>
      <c r="C142" s="94"/>
      <c r="D142" s="80"/>
      <c r="E142" s="80"/>
      <c r="F142" s="80"/>
      <c r="G142" s="80"/>
      <c r="H142" s="80"/>
      <c r="I142" s="80"/>
      <c r="J142" s="80"/>
      <c r="K142" s="80"/>
      <c r="L142" s="80"/>
      <c r="M142" s="80"/>
      <c r="N142" s="80"/>
      <c r="O142" s="102"/>
    </row>
    <row r="143" spans="2:15" ht="20.100000000000001" customHeight="1" x14ac:dyDescent="0.3">
      <c r="B143" s="97">
        <v>562</v>
      </c>
      <c r="C143" s="94"/>
      <c r="D143" s="80"/>
      <c r="E143" s="80"/>
      <c r="F143" s="80"/>
      <c r="G143" s="80"/>
      <c r="H143" s="80"/>
      <c r="I143" s="80"/>
      <c r="J143" s="80"/>
      <c r="K143" s="80"/>
      <c r="L143" s="80"/>
      <c r="M143" s="80"/>
      <c r="N143" s="80"/>
      <c r="O143" s="102"/>
    </row>
    <row r="144" spans="2:15" ht="20.100000000000001" customHeight="1" x14ac:dyDescent="0.3">
      <c r="B144" s="97">
        <v>573</v>
      </c>
      <c r="C144" s="94"/>
      <c r="D144" s="80"/>
      <c r="E144" s="80"/>
      <c r="F144" s="80"/>
      <c r="G144" s="80"/>
      <c r="H144" s="80"/>
      <c r="I144" s="80"/>
      <c r="J144" s="80"/>
      <c r="K144" s="80"/>
      <c r="L144" s="80"/>
      <c r="M144" s="80"/>
      <c r="N144" s="80"/>
      <c r="O144" s="102"/>
    </row>
    <row r="145" spans="2:15" ht="20.100000000000001" customHeight="1" x14ac:dyDescent="0.3">
      <c r="B145" s="97">
        <v>584</v>
      </c>
      <c r="C145" s="94"/>
      <c r="D145" s="80"/>
      <c r="E145" s="80"/>
      <c r="F145" s="80"/>
      <c r="G145" s="80"/>
      <c r="H145" s="80"/>
      <c r="I145" s="80"/>
      <c r="J145" s="80"/>
      <c r="K145" s="80"/>
      <c r="L145" s="80"/>
      <c r="M145" s="80"/>
      <c r="N145" s="80"/>
      <c r="O145" s="102"/>
    </row>
    <row r="146" spans="2:15" ht="20.100000000000001" customHeight="1" x14ac:dyDescent="0.3">
      <c r="B146" s="97">
        <v>595</v>
      </c>
      <c r="C146" s="94"/>
      <c r="D146" s="80"/>
      <c r="E146" s="80"/>
      <c r="F146" s="80"/>
      <c r="G146" s="80"/>
      <c r="H146" s="80"/>
      <c r="I146" s="80"/>
      <c r="J146" s="80"/>
      <c r="K146" s="80"/>
      <c r="L146" s="80"/>
      <c r="M146" s="80"/>
      <c r="N146" s="80"/>
      <c r="O146" s="102"/>
    </row>
    <row r="147" spans="2:15" ht="20.100000000000001" customHeight="1" x14ac:dyDescent="0.3">
      <c r="B147" s="97">
        <v>617</v>
      </c>
      <c r="C147" s="94"/>
      <c r="D147" s="80"/>
      <c r="E147" s="80"/>
      <c r="F147" s="80"/>
      <c r="G147" s="80"/>
      <c r="H147" s="80"/>
      <c r="I147" s="80"/>
      <c r="J147" s="80"/>
      <c r="K147" s="80"/>
      <c r="L147" s="80"/>
      <c r="M147" s="80"/>
      <c r="N147" s="80"/>
      <c r="O147" s="102"/>
    </row>
    <row r="148" spans="2:15" ht="20.100000000000001" customHeight="1" x14ac:dyDescent="0.3">
      <c r="B148" s="97">
        <v>628</v>
      </c>
      <c r="C148" s="94"/>
      <c r="D148" s="80"/>
      <c r="E148" s="80"/>
      <c r="F148" s="80"/>
      <c r="G148" s="80"/>
      <c r="H148" s="80"/>
      <c r="I148" s="80"/>
      <c r="J148" s="80"/>
      <c r="K148" s="80"/>
      <c r="L148" s="80"/>
      <c r="M148" s="80"/>
      <c r="N148" s="80"/>
      <c r="O148" s="102"/>
    </row>
    <row r="149" spans="2:15" ht="20.100000000000001" customHeight="1" x14ac:dyDescent="0.3">
      <c r="B149" s="97">
        <v>639</v>
      </c>
      <c r="C149" s="94"/>
      <c r="D149" s="80"/>
      <c r="E149" s="80"/>
      <c r="F149" s="80"/>
      <c r="G149" s="80"/>
      <c r="H149" s="80"/>
      <c r="I149" s="80"/>
      <c r="J149" s="80"/>
      <c r="K149" s="80"/>
      <c r="L149" s="80"/>
      <c r="M149" s="80"/>
      <c r="N149" s="80"/>
      <c r="O149" s="102"/>
    </row>
    <row r="150" spans="2:15" ht="20.100000000000001" customHeight="1" x14ac:dyDescent="0.3">
      <c r="B150" s="97">
        <v>641</v>
      </c>
      <c r="C150" s="94"/>
      <c r="D150" s="80"/>
      <c r="E150" s="80"/>
      <c r="F150" s="80"/>
      <c r="G150" s="80"/>
      <c r="H150" s="80"/>
      <c r="I150" s="80"/>
      <c r="J150" s="80"/>
      <c r="K150" s="80"/>
      <c r="L150" s="80"/>
      <c r="M150" s="80"/>
      <c r="N150" s="80"/>
      <c r="O150" s="102"/>
    </row>
    <row r="151" spans="2:15" ht="20.100000000000001" customHeight="1" x14ac:dyDescent="0.3">
      <c r="B151" s="97">
        <v>652</v>
      </c>
      <c r="C151" s="94"/>
      <c r="D151" s="80"/>
      <c r="E151" s="80"/>
      <c r="F151" s="80"/>
      <c r="G151" s="80"/>
      <c r="H151" s="80"/>
      <c r="I151" s="80"/>
      <c r="J151" s="80"/>
      <c r="K151" s="80"/>
      <c r="L151" s="80"/>
      <c r="M151" s="80"/>
      <c r="N151" s="80"/>
      <c r="O151" s="102"/>
    </row>
    <row r="152" spans="2:15" ht="20.100000000000001" customHeight="1" x14ac:dyDescent="0.3">
      <c r="B152" s="97">
        <v>663</v>
      </c>
      <c r="C152" s="94"/>
      <c r="D152" s="80"/>
      <c r="E152" s="80"/>
      <c r="F152" s="80"/>
      <c r="G152" s="80"/>
      <c r="H152" s="80"/>
      <c r="I152" s="80"/>
      <c r="J152" s="80"/>
      <c r="K152" s="80"/>
      <c r="L152" s="80"/>
      <c r="M152" s="80"/>
      <c r="N152" s="80"/>
      <c r="O152" s="102"/>
    </row>
    <row r="153" spans="2:15" ht="20.100000000000001" customHeight="1" x14ac:dyDescent="0.3">
      <c r="B153" s="97">
        <v>674</v>
      </c>
      <c r="C153" s="94"/>
      <c r="D153" s="80"/>
      <c r="E153" s="80"/>
      <c r="F153" s="80"/>
      <c r="G153" s="80"/>
      <c r="H153" s="80"/>
      <c r="I153" s="80"/>
      <c r="J153" s="80"/>
      <c r="K153" s="80"/>
      <c r="L153" s="80"/>
      <c r="M153" s="80"/>
      <c r="N153" s="80"/>
      <c r="O153" s="102"/>
    </row>
    <row r="154" spans="2:15" ht="20.100000000000001" customHeight="1" x14ac:dyDescent="0.3">
      <c r="B154" s="97">
        <v>685</v>
      </c>
      <c r="C154" s="94"/>
      <c r="D154" s="80"/>
      <c r="E154" s="80"/>
      <c r="F154" s="80"/>
      <c r="G154" s="80"/>
      <c r="H154" s="80"/>
      <c r="I154" s="80"/>
      <c r="J154" s="80"/>
      <c r="K154" s="80"/>
      <c r="L154" s="80"/>
      <c r="M154" s="80"/>
      <c r="N154" s="80"/>
      <c r="O154" s="102"/>
    </row>
    <row r="155" spans="2:15" ht="20.100000000000001" customHeight="1" x14ac:dyDescent="0.3">
      <c r="B155" s="97">
        <v>696</v>
      </c>
      <c r="C155" s="94"/>
      <c r="D155" s="80"/>
      <c r="E155" s="80"/>
      <c r="F155" s="80"/>
      <c r="G155" s="80"/>
      <c r="H155" s="80"/>
      <c r="I155" s="80"/>
      <c r="J155" s="80"/>
      <c r="K155" s="80"/>
      <c r="L155" s="80"/>
      <c r="M155" s="80"/>
      <c r="N155" s="80"/>
      <c r="O155" s="102"/>
    </row>
    <row r="156" spans="2:15" ht="20.100000000000001" customHeight="1" x14ac:dyDescent="0.3">
      <c r="B156" s="97">
        <v>718</v>
      </c>
      <c r="C156" s="94"/>
      <c r="D156" s="80"/>
      <c r="E156" s="80"/>
      <c r="F156" s="80"/>
      <c r="G156" s="80"/>
      <c r="H156" s="80"/>
      <c r="I156" s="80"/>
      <c r="J156" s="80"/>
      <c r="K156" s="80"/>
      <c r="L156" s="80"/>
      <c r="M156" s="80"/>
      <c r="N156" s="80"/>
      <c r="O156" s="102"/>
    </row>
    <row r="157" spans="2:15" ht="20.100000000000001" customHeight="1" x14ac:dyDescent="0.3">
      <c r="B157" s="97">
        <v>729</v>
      </c>
      <c r="C157" s="94"/>
      <c r="D157" s="80"/>
      <c r="E157" s="80"/>
      <c r="F157" s="80"/>
      <c r="G157" s="80"/>
      <c r="H157" s="80"/>
      <c r="I157" s="80"/>
      <c r="J157" s="80"/>
      <c r="K157" s="80"/>
      <c r="L157" s="80"/>
      <c r="M157" s="80"/>
      <c r="N157" s="80"/>
      <c r="O157" s="102"/>
    </row>
    <row r="158" spans="2:15" ht="20.100000000000001" customHeight="1" x14ac:dyDescent="0.3">
      <c r="B158" s="97">
        <v>731</v>
      </c>
      <c r="C158" s="94"/>
      <c r="D158" s="80"/>
      <c r="E158" s="80"/>
      <c r="F158" s="80"/>
      <c r="G158" s="80"/>
      <c r="H158" s="80"/>
      <c r="I158" s="80"/>
      <c r="J158" s="80"/>
      <c r="K158" s="80"/>
      <c r="L158" s="80"/>
      <c r="M158" s="80"/>
      <c r="N158" s="80"/>
      <c r="O158" s="102"/>
    </row>
    <row r="159" spans="2:15" ht="20.100000000000001" customHeight="1" x14ac:dyDescent="0.3">
      <c r="B159" s="97">
        <v>742</v>
      </c>
      <c r="C159" s="94"/>
      <c r="D159" s="80"/>
      <c r="E159" s="80"/>
      <c r="F159" s="80"/>
      <c r="G159" s="80"/>
      <c r="H159" s="80"/>
      <c r="I159" s="80"/>
      <c r="J159" s="80"/>
      <c r="K159" s="80"/>
      <c r="L159" s="80"/>
      <c r="M159" s="80"/>
      <c r="N159" s="80"/>
      <c r="O159" s="102"/>
    </row>
    <row r="160" spans="2:15" ht="20.100000000000001" customHeight="1" x14ac:dyDescent="0.3">
      <c r="B160" s="97">
        <v>753</v>
      </c>
      <c r="C160" s="94"/>
      <c r="D160" s="80"/>
      <c r="E160" s="80"/>
      <c r="F160" s="80"/>
      <c r="G160" s="80"/>
      <c r="H160" s="80"/>
      <c r="I160" s="80"/>
      <c r="J160" s="80"/>
      <c r="K160" s="80"/>
      <c r="L160" s="80"/>
      <c r="M160" s="80"/>
      <c r="N160" s="80"/>
      <c r="O160" s="102"/>
    </row>
    <row r="161" spans="2:15" ht="20.100000000000001" customHeight="1" x14ac:dyDescent="0.3">
      <c r="B161" s="97">
        <v>764</v>
      </c>
      <c r="C161" s="94"/>
      <c r="D161" s="80"/>
      <c r="E161" s="80"/>
      <c r="F161" s="80"/>
      <c r="G161" s="80"/>
      <c r="H161" s="80"/>
      <c r="I161" s="80"/>
      <c r="J161" s="80"/>
      <c r="K161" s="80"/>
      <c r="L161" s="80"/>
      <c r="M161" s="80"/>
      <c r="N161" s="80"/>
      <c r="O161" s="102"/>
    </row>
    <row r="162" spans="2:15" ht="20.100000000000001" customHeight="1" x14ac:dyDescent="0.3">
      <c r="B162" s="97">
        <v>775</v>
      </c>
      <c r="C162" s="94"/>
      <c r="D162" s="80"/>
      <c r="E162" s="80"/>
      <c r="F162" s="80"/>
      <c r="G162" s="80"/>
      <c r="H162" s="80"/>
      <c r="I162" s="80"/>
      <c r="J162" s="80"/>
      <c r="K162" s="80"/>
      <c r="L162" s="80"/>
      <c r="M162" s="80"/>
      <c r="N162" s="80"/>
      <c r="O162" s="102"/>
    </row>
    <row r="163" spans="2:15" ht="20.100000000000001" customHeight="1" x14ac:dyDescent="0.3">
      <c r="B163" s="97">
        <v>786</v>
      </c>
      <c r="C163" s="94"/>
      <c r="D163" s="80"/>
      <c r="E163" s="80"/>
      <c r="F163" s="80"/>
      <c r="G163" s="80"/>
      <c r="H163" s="80"/>
      <c r="I163" s="80"/>
      <c r="J163" s="80"/>
      <c r="K163" s="80"/>
      <c r="L163" s="80"/>
      <c r="M163" s="80"/>
      <c r="N163" s="80"/>
      <c r="O163" s="102"/>
    </row>
    <row r="164" spans="2:15" ht="20.100000000000001" customHeight="1" x14ac:dyDescent="0.3">
      <c r="B164" s="97">
        <v>797</v>
      </c>
      <c r="C164" s="94"/>
      <c r="D164" s="80"/>
      <c r="E164" s="80"/>
      <c r="F164" s="80"/>
      <c r="G164" s="80"/>
      <c r="H164" s="80"/>
      <c r="I164" s="80"/>
      <c r="J164" s="80"/>
      <c r="K164" s="80"/>
      <c r="L164" s="80"/>
      <c r="M164" s="80"/>
      <c r="N164" s="80"/>
      <c r="O164" s="102"/>
    </row>
    <row r="165" spans="2:15" ht="20.100000000000001" customHeight="1" x14ac:dyDescent="0.3">
      <c r="B165" s="97">
        <v>819</v>
      </c>
      <c r="C165" s="94"/>
      <c r="D165" s="80"/>
      <c r="E165" s="80"/>
      <c r="F165" s="80"/>
      <c r="G165" s="80"/>
      <c r="H165" s="80"/>
      <c r="I165" s="80"/>
      <c r="J165" s="80"/>
      <c r="K165" s="80"/>
      <c r="L165" s="80"/>
      <c r="M165" s="80"/>
      <c r="N165" s="80"/>
      <c r="O165" s="102"/>
    </row>
    <row r="166" spans="2:15" ht="20.100000000000001" customHeight="1" x14ac:dyDescent="0.3">
      <c r="B166" s="97">
        <v>821</v>
      </c>
      <c r="C166" s="94"/>
      <c r="D166" s="80"/>
      <c r="E166" s="80"/>
      <c r="F166" s="80"/>
      <c r="G166" s="80"/>
      <c r="H166" s="80"/>
      <c r="I166" s="80"/>
      <c r="J166" s="80"/>
      <c r="K166" s="80"/>
      <c r="L166" s="80"/>
      <c r="M166" s="80"/>
      <c r="N166" s="80"/>
      <c r="O166" s="102"/>
    </row>
    <row r="167" spans="2:15" ht="20.100000000000001" customHeight="1" x14ac:dyDescent="0.3">
      <c r="B167" s="97">
        <v>832</v>
      </c>
      <c r="C167" s="94"/>
      <c r="D167" s="80"/>
      <c r="E167" s="80"/>
      <c r="F167" s="80"/>
      <c r="G167" s="80"/>
      <c r="H167" s="80"/>
      <c r="I167" s="80"/>
      <c r="J167" s="80"/>
      <c r="K167" s="80"/>
      <c r="L167" s="80"/>
      <c r="M167" s="80"/>
      <c r="N167" s="80"/>
      <c r="O167" s="102"/>
    </row>
    <row r="168" spans="2:15" ht="20.100000000000001" customHeight="1" x14ac:dyDescent="0.3">
      <c r="B168" s="97">
        <v>843</v>
      </c>
      <c r="C168" s="94"/>
      <c r="D168" s="80"/>
      <c r="E168" s="80"/>
      <c r="F168" s="80"/>
      <c r="G168" s="80"/>
      <c r="H168" s="80"/>
      <c r="I168" s="80"/>
      <c r="J168" s="80"/>
      <c r="K168" s="80"/>
      <c r="L168" s="80"/>
      <c r="M168" s="80"/>
      <c r="N168" s="80"/>
      <c r="O168" s="102"/>
    </row>
    <row r="169" spans="2:15" ht="20.100000000000001" customHeight="1" x14ac:dyDescent="0.3">
      <c r="B169" s="97">
        <v>854</v>
      </c>
      <c r="C169" s="94"/>
      <c r="D169" s="80"/>
      <c r="E169" s="80"/>
      <c r="F169" s="80"/>
      <c r="G169" s="80"/>
      <c r="H169" s="80"/>
      <c r="I169" s="80"/>
      <c r="J169" s="80"/>
      <c r="K169" s="80"/>
      <c r="L169" s="80"/>
      <c r="M169" s="80"/>
      <c r="N169" s="80"/>
      <c r="O169" s="102"/>
    </row>
    <row r="170" spans="2:15" ht="20.100000000000001" customHeight="1" x14ac:dyDescent="0.3">
      <c r="B170" s="97">
        <v>865</v>
      </c>
      <c r="C170" s="94"/>
      <c r="D170" s="80"/>
      <c r="E170" s="80"/>
      <c r="F170" s="80"/>
      <c r="G170" s="80"/>
      <c r="H170" s="80"/>
      <c r="I170" s="80"/>
      <c r="J170" s="80"/>
      <c r="K170" s="80"/>
      <c r="L170" s="80"/>
      <c r="M170" s="80"/>
      <c r="N170" s="80"/>
      <c r="O170" s="102"/>
    </row>
    <row r="171" spans="2:15" ht="20.100000000000001" customHeight="1" x14ac:dyDescent="0.3">
      <c r="B171" s="97">
        <v>876</v>
      </c>
      <c r="C171" s="94"/>
      <c r="D171" s="80"/>
      <c r="E171" s="80"/>
      <c r="F171" s="80"/>
      <c r="G171" s="80"/>
      <c r="H171" s="80"/>
      <c r="I171" s="80"/>
      <c r="J171" s="80"/>
      <c r="K171" s="80"/>
      <c r="L171" s="80"/>
      <c r="M171" s="80"/>
      <c r="N171" s="80"/>
      <c r="O171" s="102"/>
    </row>
    <row r="172" spans="2:15" ht="20.100000000000001" customHeight="1" x14ac:dyDescent="0.3">
      <c r="B172" s="97">
        <v>887</v>
      </c>
      <c r="C172" s="94"/>
      <c r="D172" s="80"/>
      <c r="E172" s="80"/>
      <c r="F172" s="80"/>
      <c r="G172" s="80"/>
      <c r="H172" s="80"/>
      <c r="I172" s="80"/>
      <c r="J172" s="80"/>
      <c r="K172" s="80"/>
      <c r="L172" s="80"/>
      <c r="M172" s="80"/>
      <c r="N172" s="80"/>
      <c r="O172" s="102"/>
    </row>
    <row r="173" spans="2:15" ht="20.100000000000001" customHeight="1" x14ac:dyDescent="0.3">
      <c r="B173" s="97">
        <v>898</v>
      </c>
      <c r="C173" s="94"/>
      <c r="D173" s="80"/>
      <c r="E173" s="80"/>
      <c r="F173" s="80"/>
      <c r="G173" s="80"/>
      <c r="H173" s="80"/>
      <c r="I173" s="80"/>
      <c r="J173" s="80"/>
      <c r="K173" s="80"/>
      <c r="L173" s="80"/>
      <c r="M173" s="80"/>
      <c r="N173" s="80"/>
      <c r="O173" s="102"/>
    </row>
    <row r="174" spans="2:15" ht="20.100000000000001" customHeight="1" x14ac:dyDescent="0.3">
      <c r="B174" s="97">
        <v>911</v>
      </c>
      <c r="C174" s="94"/>
      <c r="D174" s="80"/>
      <c r="E174" s="80"/>
      <c r="F174" s="80"/>
      <c r="G174" s="80"/>
      <c r="H174" s="80"/>
      <c r="I174" s="80"/>
      <c r="J174" s="80"/>
      <c r="K174" s="80"/>
      <c r="L174" s="80"/>
      <c r="M174" s="80"/>
      <c r="N174" s="80"/>
      <c r="O174" s="102"/>
    </row>
    <row r="175" spans="2:15" ht="20.100000000000001" customHeight="1" x14ac:dyDescent="0.3">
      <c r="B175" s="97">
        <v>922</v>
      </c>
      <c r="C175" s="94"/>
      <c r="D175" s="80"/>
      <c r="E175" s="80"/>
      <c r="F175" s="80"/>
      <c r="G175" s="80"/>
      <c r="H175" s="80"/>
      <c r="I175" s="80"/>
      <c r="J175" s="80"/>
      <c r="K175" s="80"/>
      <c r="L175" s="80"/>
      <c r="M175" s="80"/>
      <c r="N175" s="80"/>
      <c r="O175" s="102"/>
    </row>
    <row r="176" spans="2:15" ht="20.100000000000001" customHeight="1" x14ac:dyDescent="0.3">
      <c r="B176" s="97">
        <v>933</v>
      </c>
      <c r="C176" s="94"/>
      <c r="D176" s="80"/>
      <c r="E176" s="80"/>
      <c r="F176" s="80"/>
      <c r="G176" s="80"/>
      <c r="H176" s="80"/>
      <c r="I176" s="80"/>
      <c r="J176" s="80"/>
      <c r="K176" s="80"/>
      <c r="L176" s="80"/>
      <c r="M176" s="80"/>
      <c r="N176" s="80"/>
      <c r="O176" s="102"/>
    </row>
    <row r="177" spans="2:15" ht="20.100000000000001" customHeight="1" x14ac:dyDescent="0.3">
      <c r="B177" s="97">
        <v>944</v>
      </c>
      <c r="C177" s="94"/>
      <c r="D177" s="80"/>
      <c r="E177" s="80"/>
      <c r="F177" s="80"/>
      <c r="G177" s="80"/>
      <c r="H177" s="80"/>
      <c r="I177" s="80"/>
      <c r="J177" s="80"/>
      <c r="K177" s="80"/>
      <c r="L177" s="80"/>
      <c r="M177" s="80"/>
      <c r="N177" s="80"/>
      <c r="O177" s="102"/>
    </row>
    <row r="178" spans="2:15" ht="20.100000000000001" customHeight="1" x14ac:dyDescent="0.3">
      <c r="B178" s="97">
        <v>955</v>
      </c>
      <c r="C178" s="94"/>
      <c r="D178" s="80"/>
      <c r="E178" s="80"/>
      <c r="F178" s="80"/>
      <c r="G178" s="80"/>
      <c r="H178" s="80"/>
      <c r="I178" s="80"/>
      <c r="J178" s="80"/>
      <c r="K178" s="80"/>
      <c r="L178" s="80"/>
      <c r="M178" s="80"/>
      <c r="N178" s="80"/>
      <c r="O178" s="102"/>
    </row>
    <row r="179" spans="2:15" ht="20.100000000000001" customHeight="1" x14ac:dyDescent="0.3">
      <c r="B179" s="97">
        <v>966</v>
      </c>
      <c r="C179" s="94"/>
      <c r="D179" s="80"/>
      <c r="E179" s="80"/>
      <c r="F179" s="80"/>
      <c r="G179" s="80"/>
      <c r="H179" s="80"/>
      <c r="I179" s="80"/>
      <c r="J179" s="80"/>
      <c r="K179" s="80"/>
      <c r="L179" s="80"/>
      <c r="M179" s="80"/>
      <c r="N179" s="80"/>
      <c r="O179" s="102"/>
    </row>
    <row r="180" spans="2:15" ht="20.100000000000001" customHeight="1" x14ac:dyDescent="0.3">
      <c r="B180" s="97">
        <v>977</v>
      </c>
      <c r="C180" s="94"/>
      <c r="D180" s="80"/>
      <c r="E180" s="80"/>
      <c r="F180" s="80"/>
      <c r="G180" s="80"/>
      <c r="H180" s="80"/>
      <c r="I180" s="80"/>
      <c r="J180" s="80"/>
      <c r="K180" s="80"/>
      <c r="L180" s="80"/>
      <c r="M180" s="80"/>
      <c r="N180" s="80"/>
      <c r="O180" s="102"/>
    </row>
    <row r="181" spans="2:15" ht="20.100000000000001" customHeight="1" x14ac:dyDescent="0.3">
      <c r="B181" s="97">
        <v>988</v>
      </c>
      <c r="C181" s="94"/>
      <c r="D181" s="80"/>
      <c r="E181" s="80"/>
      <c r="F181" s="80"/>
      <c r="G181" s="80"/>
      <c r="H181" s="80"/>
      <c r="I181" s="80"/>
      <c r="J181" s="80"/>
      <c r="K181" s="80"/>
      <c r="L181" s="80"/>
      <c r="M181" s="80"/>
      <c r="N181" s="80"/>
      <c r="O181" s="102"/>
    </row>
    <row r="182" spans="2:15" ht="20.100000000000001" customHeight="1" thickBot="1" x14ac:dyDescent="0.35">
      <c r="B182" s="98">
        <v>999</v>
      </c>
      <c r="C182" s="99"/>
      <c r="D182" s="100"/>
      <c r="E182" s="100"/>
      <c r="F182" s="100"/>
      <c r="G182" s="100"/>
      <c r="H182" s="100"/>
      <c r="I182" s="100"/>
      <c r="J182" s="100"/>
      <c r="K182" s="100"/>
      <c r="L182" s="100"/>
      <c r="M182" s="100"/>
      <c r="N182" s="100"/>
      <c r="O182" s="103"/>
    </row>
  </sheetData>
  <sortState xmlns:xlrd2="http://schemas.microsoft.com/office/spreadsheetml/2017/richdata2" ref="B102:B182">
    <sortCondition ref="B102:B182"/>
  </sortState>
  <mergeCells count="82">
    <mergeCell ref="B98:O98"/>
    <mergeCell ref="C12:G12"/>
    <mergeCell ref="C13:G13"/>
    <mergeCell ref="C14:G14"/>
    <mergeCell ref="C15:G15"/>
    <mergeCell ref="C16:G16"/>
    <mergeCell ref="C17:G17"/>
    <mergeCell ref="C18:G18"/>
    <mergeCell ref="C19:G19"/>
    <mergeCell ref="C20:G20"/>
    <mergeCell ref="C21:G21"/>
    <mergeCell ref="C23:G23"/>
    <mergeCell ref="C24:G24"/>
    <mergeCell ref="C22:G22"/>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5:G55"/>
    <mergeCell ref="C56:G56"/>
    <mergeCell ref="C57:G57"/>
    <mergeCell ref="C58:G58"/>
    <mergeCell ref="C50:G50"/>
    <mergeCell ref="C51:G51"/>
    <mergeCell ref="C52:G52"/>
    <mergeCell ref="C53:G53"/>
    <mergeCell ref="C54:G54"/>
    <mergeCell ref="C59:G59"/>
    <mergeCell ref="C60:G60"/>
    <mergeCell ref="C61:G61"/>
    <mergeCell ref="C62:G62"/>
    <mergeCell ref="C63:G63"/>
    <mergeCell ref="C64:G64"/>
    <mergeCell ref="C65:G65"/>
    <mergeCell ref="C66:G66"/>
    <mergeCell ref="C67:G67"/>
    <mergeCell ref="C68:G68"/>
    <mergeCell ref="C69:G69"/>
    <mergeCell ref="C70:G70"/>
    <mergeCell ref="C71:G71"/>
    <mergeCell ref="C72:G72"/>
    <mergeCell ref="C73:G73"/>
    <mergeCell ref="C74:G74"/>
    <mergeCell ref="C75:G75"/>
    <mergeCell ref="C76:G76"/>
    <mergeCell ref="C77:G77"/>
    <mergeCell ref="C78:G78"/>
    <mergeCell ref="C89:G89"/>
    <mergeCell ref="C90:G90"/>
    <mergeCell ref="C91:G91"/>
    <mergeCell ref="C92:G92"/>
    <mergeCell ref="C79:G79"/>
    <mergeCell ref="C80:G80"/>
    <mergeCell ref="C81:G81"/>
    <mergeCell ref="C82:G82"/>
    <mergeCell ref="C83:G83"/>
    <mergeCell ref="C84:G84"/>
    <mergeCell ref="C85:G85"/>
    <mergeCell ref="C86:G86"/>
    <mergeCell ref="C87:G87"/>
    <mergeCell ref="C88:G88"/>
  </mergeCells>
  <pageMargins left="0.7" right="0.7" top="0.75" bottom="0.75" header="0.3" footer="0.3"/>
  <pageSetup paperSize="9" scale="2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LifeNumber</vt:lpstr>
      <vt:lpstr>SHIO</vt:lpstr>
      <vt:lpstr>ELEMEN</vt:lpstr>
      <vt:lpstr>81SET</vt:lpstr>
      <vt:lpstr>'81SET'!Print_Area</vt:lpstr>
      <vt:lpstr>LifeNumber!Print_Area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JUNUS TIONO</dc:creator>
  <cp:lastModifiedBy>Isan Wijaya</cp:lastModifiedBy>
  <cp:lastPrinted>2026-07-12T06:34:12Z</cp:lastPrinted>
  <dcterms:created xsi:type="dcterms:W3CDTF">2026-06-07T10:17:29Z</dcterms:created>
  <dcterms:modified xsi:type="dcterms:W3CDTF">2026-07-13T12:37:55Z</dcterms:modified>
</cp:coreProperties>
</file>